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Users\Othmane Benzakour\Desktop\"/>
    </mc:Choice>
  </mc:AlternateContent>
  <xr:revisionPtr revIDLastSave="0" documentId="13_ncr:1_{497BC411-69E6-420A-A3E8-BD4CB5E1ECAF}" xr6:coauthVersionLast="47" xr6:coauthVersionMax="47" xr10:uidLastSave="{00000000-0000-0000-0000-000000000000}"/>
  <bookViews>
    <workbookView xWindow="-110" yWindow="-110" windowWidth="19420" windowHeight="10300" xr2:uid="{57AF1112-22B6-49B6-B1F3-1D79DA98D112}"/>
  </bookViews>
  <sheets>
    <sheet name="REVENUS" sheetId="12" r:id="rId1"/>
    <sheet name="IMMOBILIER" sheetId="13" r:id="rId2"/>
    <sheet name="FINANCIER" sheetId="14" r:id="rId3"/>
    <sheet name="Tx d'endettement" sheetId="15" r:id="rId4"/>
    <sheet name="OBJECTIFS ET EFFORT" sheetId="16" r:id="rId5"/>
    <sheet name="SIMULATEUR" sheetId="2" r:id="rId6"/>
    <sheet name="Formules" sheetId="11" state="hidden" r:id="rId7"/>
  </sheets>
  <externalReferences>
    <externalReference r:id="rId8"/>
  </externalReferences>
  <definedNames>
    <definedName name="dates">#REF!</definedName>
    <definedName name="revenu">#REF!</definedName>
    <definedName name="signe">#REF!</definedName>
    <definedName name="tabl">'[1]Suivi clients'!$B$1:$C$13</definedName>
    <definedName name="tututut">'[1]Suivi clients'!$B$1:$C$13</definedName>
    <definedName name="zodiaque">VLOOKUP(DATE(1900,MONTH('[1]Suivi clients'!XFD1),DAY('[1]Suivi clients'!XFD1)),tabl,2,1)</definedName>
    <definedName name="Zozo">VLOOKUP(DATE(1900,MONTH('[1]Suivi clients'!XFD1),DAY('[1]Suivi clients'!XFD1)),tututut,2,1)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2" l="1"/>
  <c r="D21" i="12"/>
  <c r="D26" i="14"/>
  <c r="D11" i="2" s="1"/>
  <c r="I21" i="12" l="1"/>
  <c r="F5" i="2" s="1"/>
  <c r="D29" i="11"/>
  <c r="D28" i="11"/>
  <c r="D27" i="11"/>
  <c r="D26" i="11"/>
  <c r="D25" i="11"/>
  <c r="D24" i="11"/>
  <c r="D10" i="2"/>
  <c r="D9" i="2"/>
  <c r="D8" i="2"/>
  <c r="D4" i="2"/>
  <c r="C6" i="15"/>
  <c r="C7" i="15"/>
  <c r="C11" i="15"/>
  <c r="C12" i="15" s="1"/>
  <c r="C13" i="15"/>
  <c r="C14" i="15"/>
  <c r="C18" i="15"/>
  <c r="C19" i="15"/>
  <c r="D16" i="2"/>
  <c r="A7" i="11"/>
  <c r="D22" i="2" l="1"/>
  <c r="C5" i="15"/>
  <c r="F14" i="15" s="1"/>
  <c r="F11" i="15" l="1"/>
  <c r="E5" i="2"/>
  <c r="D5" i="2" s="1"/>
  <c r="D21" i="2" s="1"/>
  <c r="F13" i="15"/>
  <c r="F15" i="15"/>
  <c r="F16" i="15"/>
  <c r="C15" i="15"/>
  <c r="E5" i="15"/>
  <c r="C20" i="15"/>
  <c r="C8" i="15"/>
  <c r="F12" i="15"/>
  <c r="D19" i="2" l="1"/>
  <c r="D20" i="2"/>
</calcChain>
</file>

<file path=xl/sharedStrings.xml><?xml version="1.0" encoding="utf-8"?>
<sst xmlns="http://schemas.openxmlformats.org/spreadsheetml/2006/main" count="195" uniqueCount="148">
  <si>
    <t>Ratio passif</t>
  </si>
  <si>
    <t>Nombre d'enfants</t>
  </si>
  <si>
    <t>Propriétaires RP</t>
  </si>
  <si>
    <t>doit être &gt; 1500 si celib, 2000 pour un couple, 2500 couple avec enfant + 500 par enfant</t>
  </si>
  <si>
    <t>Taux d'endettement après opération SCPI</t>
  </si>
  <si>
    <t xml:space="preserve"> </t>
  </si>
  <si>
    <t>Taux :  25 ans : 2.50% // 20 ans 2.30%</t>
  </si>
  <si>
    <t>Frais de dossier : 600€</t>
  </si>
  <si>
    <t>Frais d’intermédiation : 1000€</t>
  </si>
  <si>
    <t>Frais de garantie : 350€</t>
  </si>
  <si>
    <t>SCI OU EN DIRECT ( pas de SCI pour les célibataires locataires ou hébergé à titre gratuit hormis profils patrimoniaux )</t>
  </si>
  <si>
    <t>Pas de domiciliation de salaire</t>
  </si>
  <si>
    <t>Locataire ou propriétaire Fr à Nantissement des parts</t>
  </si>
  <si>
    <t>Montant mini d’épargne à titre indicatif entre 10 et 15 %</t>
  </si>
  <si>
    <t>Taux endettement Max : 45% après opération</t>
  </si>
  <si>
    <t>Revenus Mme</t>
  </si>
  <si>
    <t>Revenus Mr</t>
  </si>
  <si>
    <t>Montant d'investissement SCPI</t>
  </si>
  <si>
    <t>Taux hors assurance</t>
  </si>
  <si>
    <t>Charges (loyers et/ou crédits)</t>
  </si>
  <si>
    <t>Situation des emprunteurs</t>
  </si>
  <si>
    <t>doit être &gt; 0</t>
  </si>
  <si>
    <t>doit etre &lt; 45%</t>
  </si>
  <si>
    <t>Revenus de la SCPI pris en compte</t>
  </si>
  <si>
    <t>Investissement en couple ou seul</t>
  </si>
  <si>
    <t>Propriétaire</t>
  </si>
  <si>
    <t>Locataire</t>
  </si>
  <si>
    <t>Capital Restant dû (tous prêts confondus)</t>
  </si>
  <si>
    <t>Mensualité du prêt de la SCPI</t>
  </si>
  <si>
    <t>Restant à vivre</t>
  </si>
  <si>
    <t>Propriétaire ou locataire ?</t>
  </si>
  <si>
    <t>Loyers mensuels percus sur investissements locatifs</t>
  </si>
  <si>
    <t>Soucriptions de 75k€ mini et acces au SCPI externe à partir de 150 k€</t>
  </si>
  <si>
    <t>Montant d'épargne</t>
  </si>
  <si>
    <t>Ratio d'épargne</t>
  </si>
  <si>
    <t>doit etre &gt; 10% (idealement &gt;15%)</t>
  </si>
  <si>
    <t>Remplir les cases jaunes uniquement</t>
  </si>
  <si>
    <t>Durée du prêt en mois</t>
  </si>
  <si>
    <t>Revenus avant impots (variable inclus uniquement si + de 3 ans)</t>
  </si>
  <si>
    <t>Prof liberales acceptées uniquement avocats et medecins</t>
  </si>
  <si>
    <t>Ratios emprunteur après opération à valider</t>
  </si>
  <si>
    <t>Célibataire ou en couple ?</t>
  </si>
  <si>
    <t>Célibataire</t>
  </si>
  <si>
    <t>En couple</t>
  </si>
  <si>
    <t>calcul du restant a vivre</t>
  </si>
  <si>
    <t>Nombre d'enfants à charge</t>
  </si>
  <si>
    <t>Investissement SCPI</t>
  </si>
  <si>
    <t xml:space="preserve">Remarques : </t>
  </si>
  <si>
    <t xml:space="preserve">Investissements fiscaux </t>
  </si>
  <si>
    <t xml:space="preserve">Réductions </t>
  </si>
  <si>
    <t>IMPÔT SUR LE REVENU</t>
  </si>
  <si>
    <t>Brut Annuel</t>
  </si>
  <si>
    <t>Variable</t>
  </si>
  <si>
    <t>Fixe annuel</t>
  </si>
  <si>
    <t xml:space="preserve">Revenus </t>
  </si>
  <si>
    <t xml:space="preserve">Régime </t>
  </si>
  <si>
    <t xml:space="preserve">Ancienneté </t>
  </si>
  <si>
    <t>Entreprise</t>
  </si>
  <si>
    <t xml:space="preserve">Entreprise </t>
  </si>
  <si>
    <t xml:space="preserve">Profession </t>
  </si>
  <si>
    <t>REVENUS / FISCALITÉ</t>
  </si>
  <si>
    <t>Parts fiscales</t>
  </si>
  <si>
    <t xml:space="preserve">Ages </t>
  </si>
  <si>
    <t xml:space="preserve">Nombre d'enfants  </t>
  </si>
  <si>
    <t>Régime</t>
  </si>
  <si>
    <t>Concubinage</t>
  </si>
  <si>
    <t xml:space="preserve">Situation familiale  </t>
  </si>
  <si>
    <t xml:space="preserve">Date de naissance </t>
  </si>
  <si>
    <t xml:space="preserve">Email </t>
  </si>
  <si>
    <t xml:space="preserve">Prénom </t>
  </si>
  <si>
    <t xml:space="preserve">Nom </t>
  </si>
  <si>
    <t>ÉTAT CIVIL</t>
  </si>
  <si>
    <t>Durée</t>
  </si>
  <si>
    <t xml:space="preserve">Mensualités </t>
  </si>
  <si>
    <t>CRD</t>
  </si>
  <si>
    <t>K emprunté</t>
  </si>
  <si>
    <t>Désignation</t>
  </si>
  <si>
    <t>AUTRES CRÉDITS</t>
  </si>
  <si>
    <t>Loyers perçus</t>
  </si>
  <si>
    <t>Durée d'emprunt</t>
  </si>
  <si>
    <t>Valeur d'achat</t>
  </si>
  <si>
    <t>Valeur estimée</t>
  </si>
  <si>
    <t xml:space="preserve">Adresse : </t>
  </si>
  <si>
    <t>RÉSIDENCE SECONDAIRE/LOCATIVE</t>
  </si>
  <si>
    <t>Date d'achat</t>
  </si>
  <si>
    <t>Loyer/Mensualité</t>
  </si>
  <si>
    <t>Situation</t>
  </si>
  <si>
    <t xml:space="preserve">Adresse </t>
  </si>
  <si>
    <t>RÉSIDENCE PRINCIPALE</t>
  </si>
  <si>
    <t>PATRIMOINE IMMOBILIER</t>
  </si>
  <si>
    <t>Valeur Totale</t>
  </si>
  <si>
    <t>Remarques</t>
  </si>
  <si>
    <t>Date de souscription</t>
  </si>
  <si>
    <t>Valeur actuelle</t>
  </si>
  <si>
    <t>Type de produit</t>
  </si>
  <si>
    <t>Détenteur</t>
  </si>
  <si>
    <t>PATRIMOINE FINANCIER</t>
  </si>
  <si>
    <t>Endettement total</t>
  </si>
  <si>
    <t>Mensualité</t>
  </si>
  <si>
    <t>Autre(s) crédit(s)</t>
  </si>
  <si>
    <t>Endettement après les autres actifs</t>
  </si>
  <si>
    <t>Crédit</t>
  </si>
  <si>
    <t>Loyers perçus retenus</t>
  </si>
  <si>
    <t>Loyers perçus réels</t>
  </si>
  <si>
    <t>Taux d'endettement post-opération en SCPI</t>
  </si>
  <si>
    <t>Autre(s) bien(s) immobilier(s)</t>
  </si>
  <si>
    <t>Endettement après les revenus</t>
  </si>
  <si>
    <t>loyer HC</t>
  </si>
  <si>
    <t>Revenu mensuel NET</t>
  </si>
  <si>
    <r>
      <t xml:space="preserve">Montant potentiel en SCPI </t>
    </r>
    <r>
      <rPr>
        <b/>
        <sz val="9"/>
        <color theme="1"/>
        <rFont val="Arsenal"/>
      </rPr>
      <t>(sans prendre en compte l'endettement)</t>
    </r>
  </si>
  <si>
    <t>Revenus du/des salariés</t>
  </si>
  <si>
    <r>
      <t xml:space="preserve">Investisseur 
</t>
    </r>
    <r>
      <rPr>
        <b/>
        <i/>
        <sz val="14"/>
        <color rgb="FF16365C"/>
        <rFont val="Arsenal"/>
      </rPr>
      <t>Calcul du Taux d'Endettement</t>
    </r>
  </si>
  <si>
    <t>Politiquement exposé ?</t>
  </si>
  <si>
    <t>Situation familiale</t>
  </si>
  <si>
    <t>Pacsé</t>
  </si>
  <si>
    <t>Marié</t>
  </si>
  <si>
    <t>Communauté</t>
  </si>
  <si>
    <t>Société aux Acquets</t>
  </si>
  <si>
    <t>Séparation</t>
  </si>
  <si>
    <t>Montant en SCPI</t>
  </si>
  <si>
    <t>Charges de crédit mensuelles SCPI</t>
  </si>
  <si>
    <t>Loyers à 5%</t>
  </si>
  <si>
    <t>loyers retenus</t>
  </si>
  <si>
    <t>75K</t>
  </si>
  <si>
    <t>100K</t>
  </si>
  <si>
    <t>150K</t>
  </si>
  <si>
    <t>200K</t>
  </si>
  <si>
    <t>250K</t>
  </si>
  <si>
    <t>300K</t>
  </si>
  <si>
    <t>Téléphone</t>
  </si>
  <si>
    <t>Logé à titre gratuit</t>
  </si>
  <si>
    <t>US person?</t>
  </si>
  <si>
    <t>Capital restant dû</t>
  </si>
  <si>
    <t>OBJECTIFS</t>
  </si>
  <si>
    <t>EFFORT D'EPARGNE</t>
  </si>
  <si>
    <t xml:space="preserve">Biens divers ? </t>
  </si>
  <si>
    <t>,</t>
  </si>
  <si>
    <t>Non</t>
  </si>
  <si>
    <t xml:space="preserve">Livret A </t>
  </si>
  <si>
    <t>Assurance Vie</t>
  </si>
  <si>
    <t>Compte courant</t>
  </si>
  <si>
    <t>PEA</t>
  </si>
  <si>
    <t>PEE</t>
  </si>
  <si>
    <t>PEA-PME</t>
  </si>
  <si>
    <t>Compte titre</t>
  </si>
  <si>
    <t>Compte titre actions inter</t>
  </si>
  <si>
    <t>Fonds de pension UK</t>
  </si>
  <si>
    <t>AISA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</si>
</sst>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#,##0\ &quot;€&quot;;[Red]\-#,##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\ &quot;€&quot;_);[Red]\(#,##0\ &quot;€&quot;\)"/>
    <numFmt numFmtId="165" formatCode="#,##0.00\ _€"/>
    <numFmt numFmtId="166" formatCode="#,##0\ _€"/>
    <numFmt numFmtId="167" formatCode="_-* #,##0\ [$€-40C]_-;\-* #,##0\ [$€-40C]_-;_-* &quot;-&quot;??\ [$€-40C]_-;_-@_-"/>
    <numFmt numFmtId="168" formatCode="_-* #,##0\ &quot;€&quot;_-;\-* #,##0\ &quot;€&quot;_-;_-* &quot;-&quot;??\ &quot;€&quot;_-;_-@_-"/>
    <numFmt numFmtId="169" formatCode="_-* #,##0_-;\-* #,##0_-;_-* &quot;-&quot;??_-;_-@_-"/>
    <numFmt numFmtId="170" formatCode="#,##0\ &quot;€&quot;"/>
    <numFmt numFmtId="171" formatCode="0.0%"/>
    <numFmt numFmtId="172" formatCode="_-* #,##0.00\ [$€-40C]_-;\-* #,##0.00\ [$€-40C]_-;_-* &quot;-&quot;??\ [$€-40C]_-;_-@_-"/>
    <numFmt numFmtId="173" formatCode="0#&quot; &quot;##&quot; &quot;##&quot; &quot;##&quot; &quot;##"/>
  </numFmts>
  <fonts count="2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Singulier"/>
    </font>
    <font>
      <sz val="11"/>
      <color theme="1"/>
      <name val="Singulier"/>
    </font>
    <font>
      <b/>
      <sz val="12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i/>
      <sz val="12"/>
      <color rgb="FF00206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i/>
      <sz val="12"/>
      <color theme="8" tint="-0.249977111117893"/>
      <name val="Calibri"/>
      <family val="2"/>
      <scheme val="minor"/>
    </font>
    <font>
      <i/>
      <sz val="12"/>
      <color theme="4" tint="-0.249977111117893"/>
      <name val="Calibri"/>
      <family val="2"/>
      <scheme val="minor"/>
    </font>
    <font>
      <b/>
      <i/>
      <sz val="12"/>
      <color rgb="FF002060"/>
      <name val="Calibri"/>
      <family val="2"/>
      <scheme val="minor"/>
    </font>
    <font>
      <i/>
      <sz val="10"/>
      <color rgb="FF00206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Arsenal"/>
    </font>
    <font>
      <sz val="11"/>
      <color rgb="FFFF0000"/>
      <name val="Calibri"/>
      <family val="2"/>
      <scheme val="minor"/>
    </font>
    <font>
      <sz val="11"/>
      <color theme="1"/>
      <name val="Arsenal"/>
    </font>
    <font>
      <sz val="11"/>
      <color rgb="FFFF0000"/>
      <name val="Arsenal"/>
    </font>
    <font>
      <b/>
      <sz val="9"/>
      <color theme="1"/>
      <name val="Arsenal"/>
    </font>
    <font>
      <b/>
      <sz val="18"/>
      <color rgb="FF16365C"/>
      <name val="Arsenal"/>
    </font>
    <font>
      <b/>
      <i/>
      <sz val="14"/>
      <color rgb="FF16365C"/>
      <name val="Arsenal"/>
    </font>
    <font>
      <b/>
      <i/>
      <sz val="10"/>
      <color rgb="FF00206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39994506668294322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rgb="FF002060"/>
      </top>
      <bottom style="medium">
        <color indexed="64"/>
      </bottom>
      <diagonal/>
    </border>
    <border>
      <left/>
      <right/>
      <top style="hair">
        <color rgb="FF002060"/>
      </top>
      <bottom style="medium">
        <color indexed="64"/>
      </bottom>
      <diagonal/>
    </border>
    <border>
      <left style="hair">
        <color rgb="FF002060"/>
      </left>
      <right/>
      <top style="hair">
        <color rgb="FF002060"/>
      </top>
      <bottom style="medium">
        <color indexed="64"/>
      </bottom>
      <diagonal/>
    </border>
    <border>
      <left style="medium">
        <color indexed="64"/>
      </left>
      <right style="hair">
        <color rgb="FF002060"/>
      </right>
      <top style="hair">
        <color rgb="FF00206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rgb="FF002060"/>
      </bottom>
      <diagonal/>
    </border>
    <border>
      <left/>
      <right/>
      <top style="medium">
        <color indexed="64"/>
      </top>
      <bottom style="hair">
        <color rgb="FF002060"/>
      </bottom>
      <diagonal/>
    </border>
    <border>
      <left style="hair">
        <color rgb="FF002060"/>
      </left>
      <right/>
      <top style="medium">
        <color indexed="64"/>
      </top>
      <bottom style="hair">
        <color rgb="FF002060"/>
      </bottom>
      <diagonal/>
    </border>
    <border>
      <left style="medium">
        <color indexed="64"/>
      </left>
      <right style="hair">
        <color rgb="FF002060"/>
      </right>
      <top style="medium">
        <color indexed="64"/>
      </top>
      <bottom style="hair">
        <color rgb="FF002060"/>
      </bottom>
      <diagonal/>
    </border>
    <border>
      <left style="medium">
        <color indexed="64"/>
      </left>
      <right/>
      <top style="hair">
        <color rgb="FF002060"/>
      </top>
      <bottom style="medium">
        <color indexed="64"/>
      </bottom>
      <diagonal/>
    </border>
    <border>
      <left style="hair">
        <color rgb="FF002060"/>
      </left>
      <right style="medium">
        <color indexed="64"/>
      </right>
      <top style="hair">
        <color rgb="FF002060"/>
      </top>
      <bottom style="hair">
        <color rgb="FF002060"/>
      </bottom>
      <diagonal/>
    </border>
    <border>
      <left style="hair">
        <color rgb="FF002060"/>
      </left>
      <right style="hair">
        <color rgb="FF002060"/>
      </right>
      <top style="hair">
        <color rgb="FF002060"/>
      </top>
      <bottom style="hair">
        <color rgb="FF002060"/>
      </bottom>
      <diagonal/>
    </border>
    <border>
      <left style="hair">
        <color rgb="FF002060"/>
      </left>
      <right style="hair">
        <color rgb="FF002060"/>
      </right>
      <top style="hair">
        <color rgb="FF002060"/>
      </top>
      <bottom/>
      <diagonal/>
    </border>
    <border>
      <left style="medium">
        <color indexed="64"/>
      </left>
      <right style="hair">
        <color rgb="FF002060"/>
      </right>
      <top style="hair">
        <color rgb="FF002060"/>
      </top>
      <bottom style="hair">
        <color rgb="FF002060"/>
      </bottom>
      <diagonal/>
    </border>
    <border>
      <left/>
      <right style="medium">
        <color indexed="64"/>
      </right>
      <top style="hair">
        <color rgb="FF002060"/>
      </top>
      <bottom style="hair">
        <color rgb="FF002060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 style="hair">
        <color rgb="FF002060"/>
      </left>
      <right/>
      <top style="hair">
        <color rgb="FF002060"/>
      </top>
      <bottom style="hair">
        <color rgb="FF002060"/>
      </bottom>
      <diagonal/>
    </border>
    <border>
      <left/>
      <right style="hair">
        <color rgb="FF002060"/>
      </right>
      <top style="hair">
        <color rgb="FF002060"/>
      </top>
      <bottom style="hair">
        <color rgb="FF002060"/>
      </bottom>
      <diagonal/>
    </border>
    <border>
      <left style="hair">
        <color rgb="FF002060"/>
      </left>
      <right style="hair">
        <color rgb="FF002060"/>
      </right>
      <top style="medium">
        <color indexed="64"/>
      </top>
      <bottom style="hair">
        <color rgb="FF002060"/>
      </bottom>
      <diagonal/>
    </border>
    <border>
      <left/>
      <right style="hair">
        <color rgb="FF002060"/>
      </right>
      <top style="medium">
        <color indexed="64"/>
      </top>
      <bottom style="hair">
        <color rgb="FF00206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rgb="FF002060"/>
      </left>
      <right/>
      <top/>
      <bottom style="medium">
        <color indexed="64"/>
      </bottom>
      <diagonal/>
    </border>
    <border>
      <left/>
      <right style="hair">
        <color rgb="FF002060"/>
      </right>
      <top style="hair">
        <color rgb="FF002060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rgb="FF002060"/>
      </left>
      <right/>
      <top/>
      <bottom/>
      <diagonal/>
    </border>
    <border>
      <left style="hair">
        <color rgb="FF002060"/>
      </left>
      <right style="hair">
        <color rgb="FF002060"/>
      </right>
      <top/>
      <bottom style="hair">
        <color rgb="FF002060"/>
      </bottom>
      <diagonal/>
    </border>
    <border>
      <left/>
      <right style="medium">
        <color indexed="64"/>
      </right>
      <top style="hair">
        <color rgb="FF002060"/>
      </top>
      <bottom/>
      <diagonal/>
    </border>
    <border>
      <left/>
      <right/>
      <top style="hair">
        <color rgb="FF002060"/>
      </top>
      <bottom/>
      <diagonal/>
    </border>
    <border>
      <left style="hair">
        <color rgb="FF002060"/>
      </left>
      <right/>
      <top style="hair">
        <color rgb="FF002060"/>
      </top>
      <bottom/>
      <diagonal/>
    </border>
    <border>
      <left style="medium">
        <color indexed="64"/>
      </left>
      <right/>
      <top style="hair">
        <color rgb="FF002060"/>
      </top>
      <bottom style="hair">
        <color rgb="FF002060"/>
      </bottom>
      <diagonal/>
    </border>
    <border>
      <left style="hair">
        <color rgb="FF002060"/>
      </left>
      <right style="medium">
        <color indexed="64"/>
      </right>
      <top style="hair">
        <color rgb="FF002060"/>
      </top>
      <bottom style="medium">
        <color indexed="64"/>
      </bottom>
      <diagonal/>
    </border>
    <border>
      <left style="hair">
        <color rgb="FF002060"/>
      </left>
      <right style="hair">
        <color rgb="FF002060"/>
      </right>
      <top style="hair">
        <color rgb="FF002060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hair">
        <color rgb="FF002060"/>
      </right>
      <top style="hair">
        <color rgb="FF002060"/>
      </top>
      <bottom/>
      <diagonal/>
    </border>
    <border>
      <left style="medium">
        <color indexed="64"/>
      </left>
      <right/>
      <top style="hair">
        <color rgb="FF00206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rgb="FF16365C"/>
      </right>
      <top style="medium">
        <color rgb="FF16365C"/>
      </top>
      <bottom style="medium">
        <color rgb="FF16365C"/>
      </bottom>
      <diagonal/>
    </border>
    <border>
      <left/>
      <right/>
      <top style="medium">
        <color rgb="FF16365C"/>
      </top>
      <bottom style="medium">
        <color rgb="FF16365C"/>
      </bottom>
      <diagonal/>
    </border>
    <border>
      <left style="medium">
        <color rgb="FF16365C"/>
      </left>
      <right/>
      <top style="medium">
        <color rgb="FF16365C"/>
      </top>
      <bottom style="medium">
        <color rgb="FF16365C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" fillId="0" borderId="0"/>
    <xf numFmtId="0" fontId="15" fillId="0" borderId="0" applyNumberForma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44">
    <xf numFmtId="0" fontId="0" fillId="0" borderId="0" xfId="0"/>
    <xf numFmtId="0" fontId="4" fillId="3" borderId="1" xfId="0" applyFont="1" applyFill="1" applyBorder="1"/>
    <xf numFmtId="0" fontId="5" fillId="6" borderId="0" xfId="0" applyFont="1" applyFill="1"/>
    <xf numFmtId="165" fontId="5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left" vertical="center" indent="1"/>
    </xf>
    <xf numFmtId="0" fontId="5" fillId="6" borderId="0" xfId="0" applyFont="1" applyFill="1" applyAlignment="1">
      <alignment horizontal="left" vertical="center"/>
    </xf>
    <xf numFmtId="167" fontId="5" fillId="6" borderId="0" xfId="0" applyNumberFormat="1" applyFont="1" applyFill="1" applyAlignment="1">
      <alignment horizontal="center"/>
    </xf>
    <xf numFmtId="10" fontId="5" fillId="6" borderId="0" xfId="0" applyNumberFormat="1" applyFont="1" applyFill="1" applyAlignment="1">
      <alignment horizontal="center"/>
    </xf>
    <xf numFmtId="167" fontId="6" fillId="5" borderId="2" xfId="1" applyNumberFormat="1" applyFont="1" applyFill="1" applyBorder="1" applyAlignment="1">
      <alignment horizontal="center"/>
    </xf>
    <xf numFmtId="0" fontId="6" fillId="3" borderId="19" xfId="0" applyFont="1" applyFill="1" applyBorder="1"/>
    <xf numFmtId="167" fontId="6" fillId="5" borderId="5" xfId="1" applyNumberFormat="1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3" xfId="0" applyFont="1" applyFill="1" applyBorder="1"/>
    <xf numFmtId="167" fontId="6" fillId="2" borderId="7" xfId="0" applyNumberFormat="1" applyFont="1" applyFill="1" applyBorder="1" applyAlignment="1">
      <alignment horizontal="center"/>
    </xf>
    <xf numFmtId="167" fontId="6" fillId="5" borderId="15" xfId="1" applyNumberFormat="1" applyFont="1" applyFill="1" applyBorder="1" applyAlignment="1">
      <alignment horizontal="center"/>
    </xf>
    <xf numFmtId="167" fontId="6" fillId="5" borderId="9" xfId="1" applyNumberFormat="1" applyFont="1" applyFill="1" applyBorder="1" applyAlignment="1">
      <alignment horizontal="center"/>
    </xf>
    <xf numFmtId="0" fontId="6" fillId="3" borderId="1" xfId="0" applyFont="1" applyFill="1" applyBorder="1"/>
    <xf numFmtId="166" fontId="6" fillId="5" borderId="7" xfId="0" applyNumberFormat="1" applyFont="1" applyFill="1" applyBorder="1" applyAlignment="1">
      <alignment horizontal="right"/>
    </xf>
    <xf numFmtId="168" fontId="6" fillId="5" borderId="7" xfId="2" applyNumberFormat="1" applyFont="1" applyFill="1" applyBorder="1" applyAlignment="1">
      <alignment horizontal="center"/>
    </xf>
    <xf numFmtId="0" fontId="6" fillId="3" borderId="20" xfId="0" applyFont="1" applyFill="1" applyBorder="1"/>
    <xf numFmtId="168" fontId="6" fillId="5" borderId="9" xfId="2" applyNumberFormat="1" applyFont="1" applyFill="1" applyBorder="1" applyAlignment="1">
      <alignment horizontal="center"/>
    </xf>
    <xf numFmtId="0" fontId="6" fillId="3" borderId="14" xfId="0" applyFont="1" applyFill="1" applyBorder="1"/>
    <xf numFmtId="167" fontId="6" fillId="5" borderId="5" xfId="0" applyNumberFormat="1" applyFont="1" applyFill="1" applyBorder="1" applyAlignment="1">
      <alignment horizontal="center"/>
    </xf>
    <xf numFmtId="0" fontId="6" fillId="3" borderId="10" xfId="0" applyFont="1" applyFill="1" applyBorder="1"/>
    <xf numFmtId="10" fontId="6" fillId="5" borderId="7" xfId="0" applyNumberFormat="1" applyFont="1" applyFill="1" applyBorder="1" applyAlignment="1">
      <alignment horizontal="right"/>
    </xf>
    <xf numFmtId="169" fontId="6" fillId="5" borderId="7" xfId="0" applyNumberFormat="1" applyFont="1" applyFill="1" applyBorder="1" applyAlignment="1">
      <alignment horizontal="right"/>
    </xf>
    <xf numFmtId="0" fontId="6" fillId="3" borderId="15" xfId="0" applyFont="1" applyFill="1" applyBorder="1"/>
    <xf numFmtId="167" fontId="6" fillId="2" borderId="9" xfId="0" applyNumberFormat="1" applyFont="1" applyFill="1" applyBorder="1" applyAlignment="1">
      <alignment horizontal="center"/>
    </xf>
    <xf numFmtId="0" fontId="6" fillId="3" borderId="4" xfId="0" applyFont="1" applyFill="1" applyBorder="1" applyAlignment="1">
      <alignment horizontal="left"/>
    </xf>
    <xf numFmtId="10" fontId="6" fillId="2" borderId="5" xfId="0" applyNumberFormat="1" applyFont="1" applyFill="1" applyBorder="1" applyAlignment="1">
      <alignment horizontal="right"/>
    </xf>
    <xf numFmtId="0" fontId="6" fillId="3" borderId="6" xfId="0" applyFont="1" applyFill="1" applyBorder="1"/>
    <xf numFmtId="0" fontId="6" fillId="3" borderId="8" xfId="0" applyFont="1" applyFill="1" applyBorder="1"/>
    <xf numFmtId="10" fontId="6" fillId="2" borderId="9" xfId="0" applyNumberFormat="1" applyFont="1" applyFill="1" applyBorder="1" applyAlignment="1">
      <alignment horizontal="right"/>
    </xf>
    <xf numFmtId="0" fontId="2" fillId="0" borderId="0" xfId="3"/>
    <xf numFmtId="0" fontId="8" fillId="0" borderId="0" xfId="3" applyFont="1"/>
    <xf numFmtId="0" fontId="9" fillId="0" borderId="0" xfId="3" applyFont="1"/>
    <xf numFmtId="0" fontId="9" fillId="0" borderId="0" xfId="3" applyFont="1" applyAlignment="1">
      <alignment vertical="center"/>
    </xf>
    <xf numFmtId="0" fontId="8" fillId="0" borderId="24" xfId="3" applyFont="1" applyBorder="1" applyAlignment="1">
      <alignment wrapText="1"/>
    </xf>
    <xf numFmtId="0" fontId="8" fillId="0" borderId="28" xfId="3" applyFont="1" applyBorder="1"/>
    <xf numFmtId="0" fontId="9" fillId="0" borderId="0" xfId="3" applyFont="1" applyAlignment="1">
      <alignment horizontal="center"/>
    </xf>
    <xf numFmtId="0" fontId="9" fillId="0" borderId="0" xfId="3" applyFont="1" applyAlignment="1">
      <alignment horizontal="center" vertical="center"/>
    </xf>
    <xf numFmtId="0" fontId="13" fillId="7" borderId="30" xfId="3" applyFont="1" applyFill="1" applyBorder="1"/>
    <xf numFmtId="0" fontId="13" fillId="0" borderId="31" xfId="3" applyFont="1" applyBorder="1" applyAlignment="1">
      <alignment horizontal="center"/>
    </xf>
    <xf numFmtId="170" fontId="13" fillId="7" borderId="31" xfId="3" applyNumberFormat="1" applyFont="1" applyFill="1" applyBorder="1" applyAlignment="1">
      <alignment horizontal="center"/>
    </xf>
    <xf numFmtId="0" fontId="13" fillId="0" borderId="32" xfId="3" applyFont="1" applyBorder="1" applyAlignment="1">
      <alignment horizontal="center"/>
    </xf>
    <xf numFmtId="0" fontId="10" fillId="0" borderId="32" xfId="3" applyFont="1" applyBorder="1"/>
    <xf numFmtId="170" fontId="13" fillId="7" borderId="32" xfId="3" applyNumberFormat="1" applyFont="1" applyFill="1" applyBorder="1" applyAlignment="1">
      <alignment horizontal="center"/>
    </xf>
    <xf numFmtId="0" fontId="10" fillId="0" borderId="33" xfId="3" applyFont="1" applyBorder="1"/>
    <xf numFmtId="0" fontId="10" fillId="0" borderId="31" xfId="3" applyFont="1" applyBorder="1"/>
    <xf numFmtId="0" fontId="10" fillId="0" borderId="38" xfId="3" applyFont="1" applyBorder="1"/>
    <xf numFmtId="0" fontId="10" fillId="0" borderId="28" xfId="3" applyFont="1" applyBorder="1"/>
    <xf numFmtId="0" fontId="8" fillId="0" borderId="0" xfId="3" applyFont="1" applyAlignment="1">
      <alignment horizontal="center"/>
    </xf>
    <xf numFmtId="0" fontId="10" fillId="0" borderId="24" xfId="3" applyFont="1" applyBorder="1"/>
    <xf numFmtId="0" fontId="8" fillId="0" borderId="31" xfId="3" applyFont="1" applyBorder="1" applyAlignment="1">
      <alignment horizontal="center"/>
    </xf>
    <xf numFmtId="0" fontId="8" fillId="7" borderId="46" xfId="3" applyFont="1" applyFill="1" applyBorder="1" applyAlignment="1">
      <alignment horizontal="center"/>
    </xf>
    <xf numFmtId="0" fontId="10" fillId="0" borderId="35" xfId="3" applyFont="1" applyBorder="1" applyAlignment="1">
      <alignment horizontal="center"/>
    </xf>
    <xf numFmtId="0" fontId="10" fillId="0" borderId="50" xfId="3" applyFont="1" applyBorder="1"/>
    <xf numFmtId="0" fontId="10" fillId="0" borderId="46" xfId="3" applyFont="1" applyBorder="1"/>
    <xf numFmtId="0" fontId="8" fillId="7" borderId="51" xfId="3" applyFont="1" applyFill="1" applyBorder="1"/>
    <xf numFmtId="0" fontId="8" fillId="0" borderId="52" xfId="3" applyFont="1" applyBorder="1"/>
    <xf numFmtId="170" fontId="8" fillId="7" borderId="52" xfId="3" applyNumberFormat="1" applyFont="1" applyFill="1" applyBorder="1"/>
    <xf numFmtId="0" fontId="8" fillId="0" borderId="24" xfId="3" applyFont="1" applyBorder="1"/>
    <xf numFmtId="0" fontId="10" fillId="0" borderId="0" xfId="3" applyFont="1"/>
    <xf numFmtId="170" fontId="8" fillId="7" borderId="52" xfId="3" applyNumberFormat="1" applyFont="1" applyFill="1" applyBorder="1" applyAlignment="1">
      <alignment horizontal="center"/>
    </xf>
    <xf numFmtId="0" fontId="8" fillId="0" borderId="22" xfId="3" applyFont="1" applyBorder="1"/>
    <xf numFmtId="0" fontId="8" fillId="0" borderId="29" xfId="3" applyFont="1" applyBorder="1"/>
    <xf numFmtId="170" fontId="8" fillId="7" borderId="47" xfId="3" applyNumberFormat="1" applyFont="1" applyFill="1" applyBorder="1" applyAlignment="1">
      <alignment horizontal="center"/>
    </xf>
    <xf numFmtId="170" fontId="8" fillId="7" borderId="48" xfId="3" applyNumberFormat="1" applyFont="1" applyFill="1" applyBorder="1" applyAlignment="1">
      <alignment horizontal="center"/>
    </xf>
    <xf numFmtId="170" fontId="8" fillId="7" borderId="49" xfId="3" applyNumberFormat="1" applyFont="1" applyFill="1" applyBorder="1" applyAlignment="1">
      <alignment horizontal="center"/>
    </xf>
    <xf numFmtId="0" fontId="8" fillId="0" borderId="32" xfId="3" applyFont="1" applyBorder="1"/>
    <xf numFmtId="170" fontId="8" fillId="7" borderId="32" xfId="3" applyNumberFormat="1" applyFont="1" applyFill="1" applyBorder="1" applyAlignment="1">
      <alignment horizontal="center"/>
    </xf>
    <xf numFmtId="0" fontId="8" fillId="0" borderId="54" xfId="3" applyFont="1" applyBorder="1" applyAlignment="1">
      <alignment horizontal="left"/>
    </xf>
    <xf numFmtId="0" fontId="8" fillId="0" borderId="55" xfId="3" applyFont="1" applyBorder="1" applyAlignment="1">
      <alignment horizontal="left"/>
    </xf>
    <xf numFmtId="0" fontId="8" fillId="0" borderId="31" xfId="3" applyFont="1" applyBorder="1"/>
    <xf numFmtId="170" fontId="8" fillId="7" borderId="31" xfId="3" applyNumberFormat="1" applyFont="1" applyFill="1" applyBorder="1" applyAlignment="1">
      <alignment horizontal="center"/>
    </xf>
    <xf numFmtId="0" fontId="8" fillId="0" borderId="31" xfId="3" applyFont="1" applyBorder="1" applyAlignment="1">
      <alignment horizontal="left"/>
    </xf>
    <xf numFmtId="0" fontId="13" fillId="0" borderId="0" xfId="3" applyFont="1" applyAlignment="1">
      <alignment horizontal="center"/>
    </xf>
    <xf numFmtId="0" fontId="13" fillId="0" borderId="0" xfId="3" applyFont="1"/>
    <xf numFmtId="170" fontId="8" fillId="7" borderId="52" xfId="3" applyNumberFormat="1" applyFont="1" applyFill="1" applyBorder="1" applyAlignment="1">
      <alignment horizontal="left"/>
    </xf>
    <xf numFmtId="170" fontId="8" fillId="7" borderId="31" xfId="3" applyNumberFormat="1" applyFont="1" applyFill="1" applyBorder="1" applyAlignment="1">
      <alignment horizontal="left"/>
    </xf>
    <xf numFmtId="0" fontId="8" fillId="7" borderId="31" xfId="3" applyFont="1" applyFill="1" applyBorder="1" applyAlignment="1">
      <alignment horizontal="left"/>
    </xf>
    <xf numFmtId="0" fontId="8" fillId="0" borderId="0" xfId="3" applyFont="1" applyAlignment="1">
      <alignment horizontal="left"/>
    </xf>
    <xf numFmtId="0" fontId="7" fillId="0" borderId="0" xfId="3" applyFont="1" applyAlignment="1">
      <alignment vertical="center" wrapText="1"/>
    </xf>
    <xf numFmtId="0" fontId="3" fillId="0" borderId="0" xfId="5"/>
    <xf numFmtId="0" fontId="3" fillId="8" borderId="0" xfId="5" applyFill="1"/>
    <xf numFmtId="9" fontId="3" fillId="8" borderId="0" xfId="5" applyNumberFormat="1" applyFill="1" applyAlignment="1">
      <alignment horizontal="center"/>
    </xf>
    <xf numFmtId="171" fontId="16" fillId="8" borderId="1" xfId="6" applyNumberFormat="1" applyFont="1" applyFill="1" applyBorder="1" applyAlignment="1">
      <alignment horizontal="center" vertical="center"/>
    </xf>
    <xf numFmtId="0" fontId="4" fillId="8" borderId="1" xfId="5" applyFont="1" applyFill="1" applyBorder="1" applyAlignment="1">
      <alignment horizontal="center"/>
    </xf>
    <xf numFmtId="0" fontId="17" fillId="8" borderId="1" xfId="5" applyFont="1" applyFill="1" applyBorder="1" applyAlignment="1">
      <alignment horizontal="center"/>
    </xf>
    <xf numFmtId="0" fontId="18" fillId="8" borderId="1" xfId="5" applyFont="1" applyFill="1" applyBorder="1" applyAlignment="1">
      <alignment horizontal="center" vertical="center" wrapText="1"/>
    </xf>
    <xf numFmtId="9" fontId="0" fillId="8" borderId="0" xfId="6" applyFont="1" applyFill="1" applyAlignment="1">
      <alignment horizontal="center"/>
    </xf>
    <xf numFmtId="170" fontId="16" fillId="8" borderId="1" xfId="5" applyNumberFormat="1" applyFont="1" applyFill="1" applyBorder="1" applyAlignment="1">
      <alignment horizontal="center" vertical="center"/>
    </xf>
    <xf numFmtId="171" fontId="18" fillId="8" borderId="0" xfId="6" applyNumberFormat="1" applyFont="1" applyFill="1" applyAlignment="1">
      <alignment horizontal="center" vertical="center"/>
    </xf>
    <xf numFmtId="0" fontId="18" fillId="8" borderId="0" xfId="5" applyFont="1" applyFill="1" applyAlignment="1">
      <alignment horizontal="center" vertical="center" wrapText="1"/>
    </xf>
    <xf numFmtId="0" fontId="18" fillId="8" borderId="0" xfId="5" applyFont="1" applyFill="1"/>
    <xf numFmtId="0" fontId="16" fillId="8" borderId="1" xfId="5" applyFont="1" applyFill="1" applyBorder="1" applyAlignment="1">
      <alignment horizontal="center" vertical="center" wrapText="1"/>
    </xf>
    <xf numFmtId="170" fontId="19" fillId="8" borderId="1" xfId="5" applyNumberFormat="1" applyFont="1" applyFill="1" applyBorder="1" applyAlignment="1">
      <alignment horizontal="center" vertical="center"/>
    </xf>
    <xf numFmtId="0" fontId="18" fillId="8" borderId="0" xfId="5" applyFont="1" applyFill="1" applyAlignment="1">
      <alignment horizontal="center" vertical="center"/>
    </xf>
    <xf numFmtId="170" fontId="16" fillId="8" borderId="0" xfId="5" applyNumberFormat="1" applyFont="1" applyFill="1" applyAlignment="1">
      <alignment horizontal="center" vertical="center"/>
    </xf>
    <xf numFmtId="0" fontId="2" fillId="0" borderId="0" xfId="3" applyAlignment="1">
      <alignment wrapText="1"/>
    </xf>
    <xf numFmtId="0" fontId="18" fillId="8" borderId="1" xfId="5" applyFont="1" applyFill="1" applyBorder="1" applyAlignment="1">
      <alignment horizontal="center" vertical="center"/>
    </xf>
    <xf numFmtId="170" fontId="18" fillId="8" borderId="1" xfId="5" applyNumberFormat="1" applyFont="1" applyFill="1" applyBorder="1" applyAlignment="1">
      <alignment horizontal="center" vertical="center"/>
    </xf>
    <xf numFmtId="0" fontId="0" fillId="8" borderId="0" xfId="0" applyFill="1"/>
    <xf numFmtId="0" fontId="0" fillId="8" borderId="1" xfId="0" applyFill="1" applyBorder="1"/>
    <xf numFmtId="9" fontId="0" fillId="8" borderId="1" xfId="0" applyNumberFormat="1" applyFill="1" applyBorder="1"/>
    <xf numFmtId="165" fontId="5" fillId="6" borderId="0" xfId="0" applyNumberFormat="1" applyFont="1" applyFill="1" applyAlignment="1">
      <alignment horizontal="left"/>
    </xf>
    <xf numFmtId="17" fontId="2" fillId="0" borderId="0" xfId="3" applyNumberFormat="1"/>
    <xf numFmtId="10" fontId="16" fillId="8" borderId="1" xfId="7" applyNumberFormat="1" applyFont="1" applyFill="1" applyBorder="1" applyAlignment="1">
      <alignment horizontal="center" vertical="center"/>
    </xf>
    <xf numFmtId="0" fontId="1" fillId="0" borderId="0" xfId="3" applyFont="1"/>
    <xf numFmtId="0" fontId="1" fillId="0" borderId="56" xfId="3" applyFont="1" applyBorder="1"/>
    <xf numFmtId="0" fontId="8" fillId="0" borderId="56" xfId="3" applyFont="1" applyBorder="1"/>
    <xf numFmtId="0" fontId="8" fillId="0" borderId="41" xfId="3" applyFont="1" applyBorder="1" applyAlignment="1">
      <alignment horizontal="center"/>
    </xf>
    <xf numFmtId="164" fontId="24" fillId="7" borderId="60" xfId="3" applyNumberFormat="1" applyFont="1" applyFill="1" applyBorder="1" applyAlignment="1">
      <alignment horizontal="center" vertical="center" wrapText="1"/>
    </xf>
    <xf numFmtId="0" fontId="1" fillId="7" borderId="51" xfId="3" applyFont="1" applyFill="1" applyBorder="1" applyAlignment="1">
      <alignment horizontal="left"/>
    </xf>
    <xf numFmtId="17" fontId="8" fillId="7" borderId="30" xfId="3" applyNumberFormat="1" applyFont="1" applyFill="1" applyBorder="1" applyAlignment="1">
      <alignment horizontal="left"/>
    </xf>
    <xf numFmtId="170" fontId="8" fillId="7" borderId="30" xfId="3" applyNumberFormat="1" applyFont="1" applyFill="1" applyBorder="1" applyAlignment="1">
      <alignment horizontal="left"/>
    </xf>
    <xf numFmtId="0" fontId="2" fillId="0" borderId="0" xfId="3" applyAlignment="1">
      <alignment horizontal="center"/>
    </xf>
    <xf numFmtId="6" fontId="1" fillId="0" borderId="0" xfId="3" applyNumberFormat="1" applyFont="1"/>
    <xf numFmtId="0" fontId="9" fillId="0" borderId="0" xfId="3" applyFont="1" applyAlignment="1">
      <alignment horizontal="left" vertical="center"/>
    </xf>
    <xf numFmtId="17" fontId="1" fillId="0" borderId="0" xfId="3" applyNumberFormat="1" applyFont="1"/>
    <xf numFmtId="0" fontId="10" fillId="0" borderId="1" xfId="3" applyFont="1" applyBorder="1" applyAlignment="1">
      <alignment horizontal="center" vertical="center" wrapText="1"/>
    </xf>
    <xf numFmtId="0" fontId="1" fillId="0" borderId="1" xfId="3" applyFont="1" applyBorder="1"/>
    <xf numFmtId="6" fontId="1" fillId="0" borderId="1" xfId="3" applyNumberFormat="1" applyFont="1" applyBorder="1" applyAlignment="1">
      <alignment horizontal="center"/>
    </xf>
    <xf numFmtId="0" fontId="2" fillId="0" borderId="1" xfId="3" applyBorder="1" applyAlignment="1">
      <alignment horizontal="center"/>
    </xf>
    <xf numFmtId="0" fontId="1" fillId="0" borderId="1" xfId="3" applyFont="1" applyBorder="1" applyAlignment="1">
      <alignment horizontal="center"/>
    </xf>
    <xf numFmtId="6" fontId="2" fillId="0" borderId="1" xfId="3" applyNumberFormat="1" applyBorder="1" applyAlignment="1">
      <alignment horizontal="center"/>
    </xf>
    <xf numFmtId="172" fontId="2" fillId="0" borderId="1" xfId="1" applyNumberFormat="1" applyFont="1" applyBorder="1" applyAlignment="1">
      <alignment horizontal="center"/>
    </xf>
    <xf numFmtId="0" fontId="2" fillId="0" borderId="1" xfId="3" applyBorder="1"/>
    <xf numFmtId="43" fontId="10" fillId="0" borderId="1" xfId="1" applyFont="1" applyBorder="1" applyAlignment="1">
      <alignment horizontal="center" vertical="center" wrapText="1"/>
    </xf>
    <xf numFmtId="6" fontId="10" fillId="0" borderId="1" xfId="1" applyNumberFormat="1" applyFont="1" applyBorder="1" applyAlignment="1">
      <alignment horizontal="center" vertical="center" wrapText="1"/>
    </xf>
    <xf numFmtId="6" fontId="2" fillId="0" borderId="0" xfId="3" applyNumberFormat="1"/>
    <xf numFmtId="9" fontId="2" fillId="0" borderId="0" xfId="3" applyNumberFormat="1" applyAlignment="1">
      <alignment horizontal="center"/>
    </xf>
    <xf numFmtId="9" fontId="2" fillId="0" borderId="0" xfId="3" applyNumberFormat="1"/>
    <xf numFmtId="10" fontId="2" fillId="0" borderId="0" xfId="3" applyNumberFormat="1"/>
    <xf numFmtId="0" fontId="1" fillId="0" borderId="1" xfId="3" applyFont="1" applyBorder="1" applyAlignment="1">
      <alignment horizontal="center" wrapText="1"/>
    </xf>
    <xf numFmtId="0" fontId="2" fillId="0" borderId="1" xfId="3" applyBorder="1" applyAlignment="1">
      <alignment horizontal="center" wrapText="1"/>
    </xf>
    <xf numFmtId="0" fontId="1" fillId="0" borderId="1" xfId="3" applyFont="1" applyBorder="1" applyAlignment="1">
      <alignment horizontal="center" vertical="center"/>
    </xf>
    <xf numFmtId="0" fontId="10" fillId="0" borderId="0" xfId="3" applyFont="1" applyAlignment="1">
      <alignment horizontal="center"/>
    </xf>
    <xf numFmtId="0" fontId="10" fillId="0" borderId="1" xfId="3" applyFont="1" applyBorder="1" applyAlignment="1">
      <alignment horizontal="center" vertical="center" wrapText="1"/>
    </xf>
    <xf numFmtId="0" fontId="8" fillId="7" borderId="23" xfId="3" applyFont="1" applyFill="1" applyBorder="1" applyAlignment="1">
      <alignment horizontal="center"/>
    </xf>
    <xf numFmtId="0" fontId="8" fillId="7" borderId="22" xfId="3" applyFont="1" applyFill="1" applyBorder="1" applyAlignment="1">
      <alignment horizontal="center"/>
    </xf>
    <xf numFmtId="0" fontId="8" fillId="7" borderId="21" xfId="3" applyFont="1" applyFill="1" applyBorder="1" applyAlignment="1">
      <alignment horizontal="center"/>
    </xf>
    <xf numFmtId="0" fontId="8" fillId="0" borderId="0" xfId="3" applyFont="1" applyAlignment="1">
      <alignment horizontal="center"/>
    </xf>
    <xf numFmtId="49" fontId="9" fillId="0" borderId="0" xfId="3" applyNumberFormat="1" applyFont="1" applyAlignment="1">
      <alignment horizontal="left" vertical="center"/>
    </xf>
    <xf numFmtId="0" fontId="12" fillId="0" borderId="29" xfId="3" applyFont="1" applyBorder="1" applyAlignment="1">
      <alignment horizontal="center"/>
    </xf>
    <xf numFmtId="0" fontId="12" fillId="0" borderId="22" xfId="3" applyFont="1" applyBorder="1" applyAlignment="1">
      <alignment horizontal="center"/>
    </xf>
    <xf numFmtId="0" fontId="12" fillId="0" borderId="23" xfId="3" applyFont="1" applyBorder="1" applyAlignment="1">
      <alignment horizontal="center"/>
    </xf>
    <xf numFmtId="6" fontId="9" fillId="0" borderId="0" xfId="3" applyNumberFormat="1" applyFont="1" applyAlignment="1">
      <alignment horizontal="center" vertical="center" wrapText="1"/>
    </xf>
    <xf numFmtId="0" fontId="9" fillId="0" borderId="0" xfId="3" applyFont="1" applyAlignment="1">
      <alignment horizontal="center" vertical="center" wrapText="1"/>
    </xf>
    <xf numFmtId="0" fontId="10" fillId="0" borderId="0" xfId="3" applyFont="1" applyAlignment="1">
      <alignment horizontal="left"/>
    </xf>
    <xf numFmtId="0" fontId="8" fillId="7" borderId="27" xfId="3" applyFont="1" applyFill="1" applyBorder="1" applyAlignment="1">
      <alignment horizontal="center"/>
    </xf>
    <xf numFmtId="0" fontId="8" fillId="7" borderId="26" xfId="3" applyFont="1" applyFill="1" applyBorder="1" applyAlignment="1">
      <alignment horizontal="center"/>
    </xf>
    <xf numFmtId="0" fontId="8" fillId="7" borderId="25" xfId="3" applyFont="1" applyFill="1" applyBorder="1" applyAlignment="1">
      <alignment horizontal="center"/>
    </xf>
    <xf numFmtId="170" fontId="11" fillId="0" borderId="22" xfId="3" applyNumberFormat="1" applyFont="1" applyBorder="1" applyAlignment="1">
      <alignment horizontal="center"/>
    </xf>
    <xf numFmtId="0" fontId="11" fillId="0" borderId="22" xfId="3" applyFont="1" applyBorder="1" applyAlignment="1">
      <alignment horizontal="center"/>
    </xf>
    <xf numFmtId="0" fontId="11" fillId="0" borderId="21" xfId="3" applyFont="1" applyBorder="1" applyAlignment="1">
      <alignment horizontal="center"/>
    </xf>
    <xf numFmtId="0" fontId="8" fillId="7" borderId="36" xfId="3" applyFont="1" applyFill="1" applyBorder="1" applyAlignment="1">
      <alignment horizontal="center"/>
    </xf>
    <xf numFmtId="0" fontId="8" fillId="7" borderId="35" xfId="3" applyFont="1" applyFill="1" applyBorder="1" applyAlignment="1">
      <alignment horizontal="center"/>
    </xf>
    <xf numFmtId="0" fontId="8" fillId="7" borderId="34" xfId="3" applyFont="1" applyFill="1" applyBorder="1" applyAlignment="1">
      <alignment horizontal="center"/>
    </xf>
    <xf numFmtId="0" fontId="8" fillId="7" borderId="23" xfId="3" applyFont="1" applyFill="1" applyBorder="1" applyAlignment="1">
      <alignment horizontal="left"/>
    </xf>
    <xf numFmtId="0" fontId="8" fillId="7" borderId="22" xfId="3" applyFont="1" applyFill="1" applyBorder="1" applyAlignment="1">
      <alignment horizontal="left"/>
    </xf>
    <xf numFmtId="0" fontId="8" fillId="7" borderId="43" xfId="3" applyFont="1" applyFill="1" applyBorder="1" applyAlignment="1">
      <alignment horizontal="left"/>
    </xf>
    <xf numFmtId="0" fontId="14" fillId="0" borderId="0" xfId="3" applyFont="1" applyAlignment="1">
      <alignment horizontal="center" vertical="center"/>
    </xf>
    <xf numFmtId="0" fontId="10" fillId="0" borderId="49" xfId="3" applyFont="1" applyBorder="1" applyAlignment="1">
      <alignment horizontal="center" vertical="center"/>
    </xf>
    <xf numFmtId="0" fontId="10" fillId="0" borderId="48" xfId="3" applyFont="1" applyBorder="1" applyAlignment="1">
      <alignment horizontal="center" vertical="center"/>
    </xf>
    <xf numFmtId="0" fontId="10" fillId="0" borderId="45" xfId="3" applyFont="1" applyBorder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10" fillId="0" borderId="44" xfId="3" applyFont="1" applyBorder="1" applyAlignment="1">
      <alignment horizontal="center" vertical="center"/>
    </xf>
    <xf numFmtId="0" fontId="10" fillId="0" borderId="42" xfId="3" applyFont="1" applyBorder="1" applyAlignment="1">
      <alignment horizontal="center" vertical="center"/>
    </xf>
    <xf numFmtId="0" fontId="10" fillId="0" borderId="41" xfId="3" applyFont="1" applyBorder="1" applyAlignment="1">
      <alignment horizontal="center" vertical="center"/>
    </xf>
    <xf numFmtId="0" fontId="10" fillId="0" borderId="40" xfId="3" applyFont="1" applyBorder="1" applyAlignment="1">
      <alignment horizontal="center" vertical="center"/>
    </xf>
    <xf numFmtId="16" fontId="8" fillId="7" borderId="36" xfId="3" applyNumberFormat="1" applyFont="1" applyFill="1" applyBorder="1" applyAlignment="1">
      <alignment horizontal="center"/>
    </xf>
    <xf numFmtId="0" fontId="8" fillId="7" borderId="37" xfId="3" applyFont="1" applyFill="1" applyBorder="1" applyAlignment="1">
      <alignment horizontal="center"/>
    </xf>
    <xf numFmtId="0" fontId="8" fillId="7" borderId="27" xfId="3" applyFont="1" applyFill="1" applyBorder="1" applyAlignment="1">
      <alignment horizontal="left"/>
    </xf>
    <xf numFmtId="0" fontId="8" fillId="7" borderId="26" xfId="3" applyFont="1" applyFill="1" applyBorder="1" applyAlignment="1">
      <alignment horizontal="left"/>
    </xf>
    <xf numFmtId="0" fontId="8" fillId="7" borderId="39" xfId="3" applyFont="1" applyFill="1" applyBorder="1" applyAlignment="1">
      <alignment horizontal="left"/>
    </xf>
    <xf numFmtId="0" fontId="8" fillId="7" borderId="25" xfId="3" applyFont="1" applyFill="1" applyBorder="1" applyAlignment="1">
      <alignment horizontal="left"/>
    </xf>
    <xf numFmtId="0" fontId="8" fillId="7" borderId="36" xfId="3" applyFont="1" applyFill="1" applyBorder="1" applyAlignment="1">
      <alignment horizontal="left"/>
    </xf>
    <xf numFmtId="0" fontId="8" fillId="7" borderId="35" xfId="3" applyFont="1" applyFill="1" applyBorder="1" applyAlignment="1">
      <alignment horizontal="left"/>
    </xf>
    <xf numFmtId="0" fontId="8" fillId="7" borderId="37" xfId="3" applyFont="1" applyFill="1" applyBorder="1" applyAlignment="1">
      <alignment horizontal="left"/>
    </xf>
    <xf numFmtId="0" fontId="15" fillId="7" borderId="36" xfId="4" applyFill="1" applyBorder="1" applyAlignment="1">
      <alignment horizontal="left"/>
    </xf>
    <xf numFmtId="14" fontId="15" fillId="7" borderId="36" xfId="4" applyNumberFormat="1" applyFill="1" applyBorder="1" applyAlignment="1">
      <alignment horizontal="left"/>
    </xf>
    <xf numFmtId="14" fontId="8" fillId="7" borderId="36" xfId="3" applyNumberFormat="1" applyFont="1" applyFill="1" applyBorder="1" applyAlignment="1">
      <alignment horizontal="left"/>
    </xf>
    <xf numFmtId="14" fontId="8" fillId="7" borderId="35" xfId="3" applyNumberFormat="1" applyFont="1" applyFill="1" applyBorder="1" applyAlignment="1">
      <alignment horizontal="left"/>
    </xf>
    <xf numFmtId="173" fontId="8" fillId="7" borderId="36" xfId="4" applyNumberFormat="1" applyFont="1" applyFill="1" applyBorder="1" applyAlignment="1">
      <alignment horizontal="left"/>
    </xf>
    <xf numFmtId="173" fontId="15" fillId="7" borderId="35" xfId="4" applyNumberFormat="1" applyFill="1" applyBorder="1" applyAlignment="1">
      <alignment horizontal="left"/>
    </xf>
    <xf numFmtId="173" fontId="15" fillId="7" borderId="37" xfId="4" applyNumberFormat="1" applyFill="1" applyBorder="1" applyAlignment="1">
      <alignment horizontal="left"/>
    </xf>
    <xf numFmtId="0" fontId="13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center"/>
    </xf>
    <xf numFmtId="0" fontId="13" fillId="0" borderId="53" xfId="3" applyFont="1" applyBorder="1" applyAlignment="1">
      <alignment horizontal="center"/>
    </xf>
    <xf numFmtId="17" fontId="8" fillId="0" borderId="23" xfId="3" applyNumberFormat="1" applyFont="1" applyBorder="1" applyAlignment="1">
      <alignment horizontal="center"/>
    </xf>
    <xf numFmtId="0" fontId="8" fillId="0" borderId="22" xfId="3" applyFont="1" applyBorder="1" applyAlignment="1">
      <alignment horizontal="center"/>
    </xf>
    <xf numFmtId="0" fontId="8" fillId="0" borderId="21" xfId="3" applyFont="1" applyBorder="1" applyAlignment="1">
      <alignment horizontal="center"/>
    </xf>
    <xf numFmtId="0" fontId="8" fillId="0" borderId="50" xfId="3" applyFont="1" applyBorder="1" applyAlignment="1">
      <alignment horizontal="left"/>
    </xf>
    <xf numFmtId="0" fontId="8" fillId="0" borderId="37" xfId="3" applyFont="1" applyBorder="1" applyAlignment="1">
      <alignment horizontal="left"/>
    </xf>
    <xf numFmtId="0" fontId="8" fillId="0" borderId="24" xfId="3" applyFont="1" applyBorder="1" applyAlignment="1">
      <alignment horizontal="left"/>
    </xf>
    <xf numFmtId="0" fontId="8" fillId="0" borderId="52" xfId="3" applyFont="1" applyBorder="1" applyAlignment="1">
      <alignment horizontal="left"/>
    </xf>
    <xf numFmtId="0" fontId="23" fillId="0" borderId="53" xfId="3" applyFont="1" applyBorder="1" applyAlignment="1">
      <alignment horizontal="center" vertical="center" wrapText="1"/>
    </xf>
    <xf numFmtId="0" fontId="23" fillId="0" borderId="0" xfId="3" applyFont="1" applyAlignment="1">
      <alignment horizontal="center" vertical="center" wrapText="1"/>
    </xf>
    <xf numFmtId="0" fontId="8" fillId="0" borderId="28" xfId="3" applyFont="1" applyBorder="1" applyAlignment="1">
      <alignment horizontal="left"/>
    </xf>
    <xf numFmtId="0" fontId="8" fillId="0" borderId="38" xfId="3" applyFont="1" applyBorder="1" applyAlignment="1">
      <alignment horizontal="left"/>
    </xf>
    <xf numFmtId="0" fontId="8" fillId="7" borderId="27" xfId="3" applyFont="1" applyFill="1" applyBorder="1" applyAlignment="1">
      <alignment horizontal="center" wrapText="1"/>
    </xf>
    <xf numFmtId="0" fontId="8" fillId="7" borderId="26" xfId="3" applyFont="1" applyFill="1" applyBorder="1" applyAlignment="1">
      <alignment horizontal="center" wrapText="1"/>
    </xf>
    <xf numFmtId="0" fontId="8" fillId="7" borderId="25" xfId="3" applyFont="1" applyFill="1" applyBorder="1" applyAlignment="1">
      <alignment horizontal="center" wrapText="1"/>
    </xf>
    <xf numFmtId="170" fontId="8" fillId="7" borderId="36" xfId="3" applyNumberFormat="1" applyFont="1" applyFill="1" applyBorder="1" applyAlignment="1">
      <alignment horizontal="left"/>
    </xf>
    <xf numFmtId="170" fontId="8" fillId="7" borderId="35" xfId="3" applyNumberFormat="1" applyFont="1" applyFill="1" applyBorder="1" applyAlignment="1">
      <alignment horizontal="left"/>
    </xf>
    <xf numFmtId="170" fontId="8" fillId="7" borderId="34" xfId="3" applyNumberFormat="1" applyFont="1" applyFill="1" applyBorder="1" applyAlignment="1">
      <alignment horizontal="left"/>
    </xf>
    <xf numFmtId="170" fontId="8" fillId="7" borderId="36" xfId="3" applyNumberFormat="1" applyFont="1" applyFill="1" applyBorder="1" applyAlignment="1">
      <alignment horizontal="center"/>
    </xf>
    <xf numFmtId="170" fontId="8" fillId="7" borderId="35" xfId="3" applyNumberFormat="1" applyFont="1" applyFill="1" applyBorder="1" applyAlignment="1">
      <alignment horizontal="center"/>
    </xf>
    <xf numFmtId="170" fontId="8" fillId="7" borderId="34" xfId="3" applyNumberFormat="1" applyFont="1" applyFill="1" applyBorder="1" applyAlignment="1">
      <alignment horizontal="center"/>
    </xf>
    <xf numFmtId="0" fontId="8" fillId="0" borderId="33" xfId="3" applyFont="1" applyBorder="1" applyAlignment="1">
      <alignment horizontal="left"/>
    </xf>
    <xf numFmtId="0" fontId="8" fillId="0" borderId="31" xfId="3" applyFont="1" applyBorder="1" applyAlignment="1">
      <alignment horizontal="left"/>
    </xf>
    <xf numFmtId="0" fontId="8" fillId="7" borderId="27" xfId="3" applyFont="1" applyFill="1" applyBorder="1" applyAlignment="1">
      <alignment horizontal="left" wrapText="1"/>
    </xf>
    <xf numFmtId="0" fontId="8" fillId="7" borderId="26" xfId="3" applyFont="1" applyFill="1" applyBorder="1" applyAlignment="1">
      <alignment horizontal="left" wrapText="1"/>
    </xf>
    <xf numFmtId="0" fontId="8" fillId="7" borderId="25" xfId="3" applyFont="1" applyFill="1" applyBorder="1" applyAlignment="1">
      <alignment horizontal="left" wrapText="1"/>
    </xf>
    <xf numFmtId="0" fontId="16" fillId="9" borderId="1" xfId="5" applyFont="1" applyFill="1" applyBorder="1" applyAlignment="1">
      <alignment horizontal="center" vertical="center" wrapText="1"/>
    </xf>
    <xf numFmtId="0" fontId="21" fillId="8" borderId="59" xfId="5" applyFont="1" applyFill="1" applyBorder="1" applyAlignment="1">
      <alignment horizontal="center" wrapText="1"/>
    </xf>
    <xf numFmtId="0" fontId="21" fillId="8" borderId="58" xfId="5" applyFont="1" applyFill="1" applyBorder="1" applyAlignment="1">
      <alignment horizontal="center"/>
    </xf>
    <xf numFmtId="0" fontId="21" fillId="8" borderId="57" xfId="5" applyFont="1" applyFill="1" applyBorder="1" applyAlignment="1">
      <alignment horizontal="center"/>
    </xf>
    <xf numFmtId="170" fontId="16" fillId="8" borderId="1" xfId="5" applyNumberFormat="1" applyFont="1" applyFill="1" applyBorder="1" applyAlignment="1">
      <alignment horizontal="center" vertical="center"/>
    </xf>
    <xf numFmtId="0" fontId="2" fillId="0" borderId="36" xfId="3" applyBorder="1" applyAlignment="1">
      <alignment horizontal="center" wrapText="1"/>
    </xf>
    <xf numFmtId="0" fontId="2" fillId="0" borderId="35" xfId="3" applyBorder="1" applyAlignment="1">
      <alignment horizontal="center" wrapText="1"/>
    </xf>
    <xf numFmtId="0" fontId="2" fillId="0" borderId="37" xfId="3" applyBorder="1" applyAlignment="1">
      <alignment horizontal="center" wrapText="1"/>
    </xf>
    <xf numFmtId="0" fontId="2" fillId="0" borderId="36" xfId="3" applyBorder="1" applyAlignment="1">
      <alignment horizontal="left" wrapText="1"/>
    </xf>
    <xf numFmtId="0" fontId="2" fillId="0" borderId="35" xfId="3" applyBorder="1" applyAlignment="1">
      <alignment horizontal="left" wrapText="1"/>
    </xf>
    <xf numFmtId="0" fontId="2" fillId="0" borderId="37" xfId="3" applyBorder="1" applyAlignment="1">
      <alignment horizontal="left" wrapText="1"/>
    </xf>
    <xf numFmtId="0" fontId="1" fillId="0" borderId="0" xfId="3" applyFont="1" applyAlignment="1">
      <alignment horizontal="left" wrapText="1"/>
    </xf>
    <xf numFmtId="0" fontId="10" fillId="0" borderId="60" xfId="3" applyFont="1" applyBorder="1" applyAlignment="1">
      <alignment horizontal="center" vertical="center"/>
    </xf>
    <xf numFmtId="0" fontId="8" fillId="0" borderId="60" xfId="3" applyFont="1" applyBorder="1" applyAlignment="1">
      <alignment horizontal="center" vertical="center"/>
    </xf>
    <xf numFmtId="0" fontId="10" fillId="7" borderId="60" xfId="3" applyFont="1" applyFill="1" applyBorder="1" applyAlignment="1">
      <alignment horizontal="center"/>
    </xf>
    <xf numFmtId="0" fontId="8" fillId="7" borderId="60" xfId="3" applyFont="1" applyFill="1" applyBorder="1" applyAlignment="1">
      <alignment horizontal="center"/>
    </xf>
    <xf numFmtId="0" fontId="1" fillId="0" borderId="36" xfId="3" applyFont="1" applyBorder="1" applyAlignment="1">
      <alignment horizontal="left" wrapText="1"/>
    </xf>
    <xf numFmtId="0" fontId="1" fillId="0" borderId="35" xfId="3" applyFont="1" applyBorder="1" applyAlignment="1">
      <alignment horizontal="left" wrapText="1"/>
    </xf>
    <xf numFmtId="0" fontId="1" fillId="0" borderId="37" xfId="3" applyFont="1" applyBorder="1" applyAlignment="1">
      <alignment horizontal="left" wrapText="1"/>
    </xf>
    <xf numFmtId="0" fontId="6" fillId="4" borderId="11" xfId="0" applyFont="1" applyFill="1" applyBorder="1" applyAlignment="1">
      <alignment horizontal="center" vertical="center" wrapText="1"/>
    </xf>
    <xf numFmtId="0" fontId="6" fillId="0" borderId="12" xfId="0" applyFont="1" applyBorder="1"/>
    <xf numFmtId="0" fontId="6" fillId="0" borderId="13" xfId="0" applyFont="1" applyBorder="1"/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</cellXfs>
  <cellStyles count="8">
    <cellStyle name="Lien hypertexte" xfId="4" builtinId="8"/>
    <cellStyle name="Milliers" xfId="1" builtinId="3"/>
    <cellStyle name="Monétaire" xfId="2" builtinId="4"/>
    <cellStyle name="Normal" xfId="0" builtinId="0"/>
    <cellStyle name="Normal 2" xfId="3" xr:uid="{80DC6F5E-A401-CC47-BA2A-5F4021F9B72A}"/>
    <cellStyle name="Normal 2 2" xfId="5" xr:uid="{E0FBE822-CE38-F842-991A-9E7223B3E215}"/>
    <cellStyle name="Pourcentage 2" xfId="6" xr:uid="{4B424772-F432-BA49-9612-F2284B5C739E}"/>
    <cellStyle name="Pourcentage 3" xfId="7" xr:uid="{CE36F738-8DC0-E344-B2F8-155A13F60288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BE1D"/>
      <color rgb="FFFDD3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guill/Documents/LONLAY%20&amp;%20ASSOCIES/Clients/AAA%20-%20Suivi%20clients/Suivi%20cli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ivi clients"/>
      <sheetName val="Com MIRARI W.M."/>
      <sheetName val="Com L&amp;A"/>
      <sheetName val="identifiants"/>
      <sheetName val="Nouveaux consultants"/>
      <sheetName val="EURL"/>
      <sheetName val="SCI GO PATRIMOINE"/>
      <sheetName val="Site"/>
      <sheetName val="Tréso Boissin"/>
      <sheetName val="Ass Vie UK"/>
      <sheetName val="Feuil7"/>
    </sheetNames>
    <sheetDataSet>
      <sheetData sheetId="0">
        <row r="1">
          <cell r="B1" t="str">
            <v>Nom</v>
          </cell>
          <cell r="C1" t="str">
            <v>Prénom</v>
          </cell>
        </row>
        <row r="2">
          <cell r="B2" t="str">
            <v>SAUVAGET / VITRAI</v>
          </cell>
          <cell r="C2" t="str">
            <v>Violaine / Sébastien</v>
          </cell>
        </row>
        <row r="3">
          <cell r="B3" t="str">
            <v>SOILIHI</v>
          </cell>
          <cell r="C3" t="str">
            <v>Achata / Ahmed</v>
          </cell>
        </row>
        <row r="4">
          <cell r="B4" t="str">
            <v>BENZIMRA</v>
          </cell>
          <cell r="C4" t="str">
            <v>Daniel / Alina</v>
          </cell>
        </row>
        <row r="5">
          <cell r="B5" t="str">
            <v>CASTAING</v>
          </cell>
          <cell r="C5" t="str">
            <v>Bruno</v>
          </cell>
        </row>
        <row r="6">
          <cell r="B6" t="str">
            <v>AUGUSTIN</v>
          </cell>
          <cell r="C6" t="str">
            <v>Jérôme</v>
          </cell>
        </row>
        <row r="7">
          <cell r="B7" t="str">
            <v>BRASSEUR</v>
          </cell>
          <cell r="C7" t="str">
            <v>Olivier</v>
          </cell>
        </row>
        <row r="8">
          <cell r="B8" t="str">
            <v>HUANG</v>
          </cell>
          <cell r="C8" t="str">
            <v>Yuan Long</v>
          </cell>
        </row>
        <row r="9">
          <cell r="B9" t="str">
            <v>RAJKUMAR</v>
          </cell>
          <cell r="C9" t="str">
            <v>Pharath</v>
          </cell>
        </row>
        <row r="10">
          <cell r="B10" t="str">
            <v>BOURDUGE</v>
          </cell>
          <cell r="C10" t="str">
            <v>Anne</v>
          </cell>
        </row>
        <row r="11">
          <cell r="B11" t="str">
            <v>DUMONT</v>
          </cell>
          <cell r="C11" t="str">
            <v>François</v>
          </cell>
        </row>
        <row r="12">
          <cell r="B12" t="str">
            <v>LEROUX</v>
          </cell>
          <cell r="C12" t="str">
            <v>Grégoriane</v>
          </cell>
        </row>
        <row r="13">
          <cell r="B13" t="str">
            <v>BRUWAENE</v>
          </cell>
          <cell r="C13" t="str">
            <v>Thierry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7E67A-70AE-BD41-93D2-386BA15B76EF}">
  <sheetPr>
    <tabColor rgb="FFFF0000"/>
  </sheetPr>
  <dimension ref="B1:N32"/>
  <sheetViews>
    <sheetView showGridLines="0" tabSelected="1" topLeftCell="A10" zoomScale="78" zoomScaleNormal="130" workbookViewId="0">
      <selection activeCell="C32" sqref="C32"/>
    </sheetView>
  </sheetViews>
  <sheetFormatPr baseColWidth="10" defaultColWidth="10.81640625" defaultRowHeight="15.5"/>
  <cols>
    <col min="1" max="1" width="2.453125" style="34" customWidth="1"/>
    <col min="2" max="2" width="19.90625" style="35" customWidth="1"/>
    <col min="3" max="3" width="13.54296875" style="35" customWidth="1"/>
    <col min="4" max="4" width="14" style="35" customWidth="1"/>
    <col min="5" max="5" width="14.453125" style="35" bestFit="1" customWidth="1"/>
    <col min="6" max="6" width="17.54296875" style="35" customWidth="1"/>
    <col min="7" max="7" width="20" style="35" customWidth="1"/>
    <col min="8" max="8" width="20.453125" style="35" customWidth="1"/>
    <col min="9" max="9" width="10.81640625" style="35"/>
    <col min="10" max="10" width="14.453125" style="35" bestFit="1" customWidth="1"/>
    <col min="11" max="11" width="10.81640625" style="35"/>
    <col min="12" max="12" width="4" style="35" customWidth="1"/>
    <col min="13" max="16384" width="10.81640625" style="34"/>
  </cols>
  <sheetData>
    <row r="1" spans="2:14">
      <c r="B1" s="150" t="s">
        <v>71</v>
      </c>
      <c r="C1" s="150"/>
      <c r="G1" s="138"/>
      <c r="H1" s="138"/>
    </row>
    <row r="2" spans="2:14" ht="6" customHeight="1" thickBot="1">
      <c r="G2" s="52"/>
      <c r="H2" s="112"/>
    </row>
    <row r="3" spans="2:14">
      <c r="B3" s="51" t="s">
        <v>70</v>
      </c>
      <c r="C3" s="174"/>
      <c r="D3" s="175"/>
      <c r="E3" s="175"/>
      <c r="F3" s="176"/>
      <c r="G3" s="50" t="s">
        <v>70</v>
      </c>
      <c r="H3" s="174"/>
      <c r="I3" s="175"/>
      <c r="J3" s="175"/>
      <c r="K3" s="177"/>
      <c r="M3" s="109"/>
    </row>
    <row r="4" spans="2:14">
      <c r="B4" s="48" t="s">
        <v>69</v>
      </c>
      <c r="C4" s="178"/>
      <c r="D4" s="179"/>
      <c r="E4" s="179"/>
      <c r="F4" s="180"/>
      <c r="G4" s="58" t="s">
        <v>69</v>
      </c>
      <c r="H4" s="178"/>
      <c r="I4" s="179"/>
      <c r="J4" s="179"/>
      <c r="K4" s="179"/>
      <c r="L4" s="111"/>
      <c r="M4" s="109"/>
    </row>
    <row r="5" spans="2:14">
      <c r="B5" s="48" t="s">
        <v>68</v>
      </c>
      <c r="C5" s="181"/>
      <c r="D5" s="179"/>
      <c r="E5" s="179"/>
      <c r="F5" s="180"/>
      <c r="G5" s="58" t="s">
        <v>68</v>
      </c>
      <c r="H5" s="182"/>
      <c r="I5" s="179"/>
      <c r="J5" s="179"/>
      <c r="K5" s="179"/>
      <c r="L5" s="111"/>
      <c r="M5" s="109"/>
    </row>
    <row r="6" spans="2:14">
      <c r="B6" s="48" t="s">
        <v>129</v>
      </c>
      <c r="C6" s="185"/>
      <c r="D6" s="186"/>
      <c r="E6" s="186"/>
      <c r="F6" s="187"/>
      <c r="G6" s="58" t="s">
        <v>129</v>
      </c>
      <c r="H6" s="185"/>
      <c r="I6" s="186"/>
      <c r="J6" s="186"/>
      <c r="K6" s="186"/>
      <c r="L6" s="111"/>
      <c r="M6" s="109"/>
    </row>
    <row r="7" spans="2:14">
      <c r="B7" s="48" t="s">
        <v>67</v>
      </c>
      <c r="C7" s="183"/>
      <c r="D7" s="179"/>
      <c r="E7" s="179"/>
      <c r="F7" s="180"/>
      <c r="G7" s="58" t="s">
        <v>67</v>
      </c>
      <c r="H7" s="183"/>
      <c r="I7" s="184"/>
      <c r="J7" s="184"/>
      <c r="K7" s="184"/>
      <c r="L7" s="111"/>
      <c r="M7" s="109"/>
    </row>
    <row r="8" spans="2:14">
      <c r="B8" s="57" t="s">
        <v>66</v>
      </c>
      <c r="C8" s="55"/>
      <c r="D8" s="56" t="s">
        <v>64</v>
      </c>
      <c r="E8" s="157"/>
      <c r="F8" s="173"/>
      <c r="G8" s="164"/>
      <c r="H8" s="165"/>
      <c r="I8" s="165"/>
      <c r="J8" s="165"/>
      <c r="K8" s="165"/>
      <c r="L8" s="111"/>
      <c r="M8" s="109"/>
    </row>
    <row r="9" spans="2:14">
      <c r="B9" s="48" t="s">
        <v>63</v>
      </c>
      <c r="C9" s="55"/>
      <c r="D9" s="54" t="s">
        <v>62</v>
      </c>
      <c r="E9" s="172"/>
      <c r="F9" s="173"/>
      <c r="G9" s="166"/>
      <c r="H9" s="167"/>
      <c r="I9" s="167"/>
      <c r="J9" s="167"/>
      <c r="K9" s="168"/>
      <c r="M9" s="109"/>
    </row>
    <row r="10" spans="2:14" ht="16" thickBot="1">
      <c r="B10" s="53" t="s">
        <v>61</v>
      </c>
      <c r="C10" s="160"/>
      <c r="D10" s="161"/>
      <c r="E10" s="161"/>
      <c r="F10" s="162"/>
      <c r="G10" s="169"/>
      <c r="H10" s="170"/>
      <c r="I10" s="170"/>
      <c r="J10" s="170"/>
      <c r="K10" s="171"/>
      <c r="L10" s="52"/>
      <c r="M10" s="109"/>
      <c r="N10" s="34" t="s">
        <v>5</v>
      </c>
    </row>
    <row r="11" spans="2:14" ht="8.15" customHeight="1"/>
    <row r="12" spans="2:14">
      <c r="B12" s="37" t="s">
        <v>47</v>
      </c>
      <c r="C12" s="163"/>
      <c r="D12" s="163"/>
      <c r="E12" s="163"/>
      <c r="F12" s="163"/>
      <c r="G12" s="163"/>
      <c r="H12" s="36"/>
      <c r="I12" s="36"/>
      <c r="J12" s="36"/>
      <c r="K12" s="36"/>
      <c r="L12" s="36"/>
    </row>
    <row r="13" spans="2:14" ht="8.15" customHeight="1">
      <c r="B13" s="37"/>
      <c r="C13" s="163"/>
      <c r="D13" s="163"/>
      <c r="E13" s="163"/>
      <c r="F13" s="163"/>
      <c r="G13" s="163"/>
      <c r="H13" s="36"/>
      <c r="I13" s="36"/>
      <c r="J13" s="36"/>
      <c r="K13" s="36"/>
      <c r="L13" s="36"/>
      <c r="N13" s="34" t="s">
        <v>5</v>
      </c>
    </row>
    <row r="14" spans="2:14">
      <c r="B14" s="150" t="s">
        <v>60</v>
      </c>
      <c r="C14" s="150"/>
      <c r="G14" s="138"/>
      <c r="H14" s="138"/>
    </row>
    <row r="15" spans="2:14" ht="6" customHeight="1" thickBot="1"/>
    <row r="16" spans="2:14">
      <c r="B16" s="51" t="s">
        <v>59</v>
      </c>
      <c r="C16" s="151"/>
      <c r="D16" s="152"/>
      <c r="E16" s="152"/>
      <c r="F16" s="153"/>
      <c r="G16" s="50" t="s">
        <v>59</v>
      </c>
      <c r="H16" s="151"/>
      <c r="I16" s="152"/>
      <c r="J16" s="152"/>
      <c r="K16" s="153"/>
      <c r="M16" s="109"/>
    </row>
    <row r="17" spans="2:13">
      <c r="B17" s="48" t="s">
        <v>58</v>
      </c>
      <c r="C17" s="157"/>
      <c r="D17" s="158"/>
      <c r="E17" s="158"/>
      <c r="F17" s="159"/>
      <c r="G17" s="49" t="s">
        <v>57</v>
      </c>
      <c r="H17" s="157"/>
      <c r="I17" s="158"/>
      <c r="J17" s="158"/>
      <c r="K17" s="159"/>
    </row>
    <row r="18" spans="2:13">
      <c r="B18" s="48" t="s">
        <v>56</v>
      </c>
      <c r="C18" s="157"/>
      <c r="D18" s="158"/>
      <c r="E18" s="158"/>
      <c r="F18" s="159"/>
      <c r="G18" s="49" t="s">
        <v>56</v>
      </c>
      <c r="H18" s="157"/>
      <c r="I18" s="158"/>
      <c r="J18" s="158"/>
      <c r="K18" s="159"/>
    </row>
    <row r="19" spans="2:13">
      <c r="B19" s="48" t="s">
        <v>55</v>
      </c>
      <c r="C19" s="157"/>
      <c r="D19" s="158"/>
      <c r="E19" s="158"/>
      <c r="F19" s="159"/>
      <c r="G19" s="49" t="s">
        <v>55</v>
      </c>
      <c r="H19" s="157"/>
      <c r="I19" s="158"/>
      <c r="J19" s="158"/>
      <c r="K19" s="159"/>
    </row>
    <row r="20" spans="2:13">
      <c r="B20" s="48" t="s">
        <v>54</v>
      </c>
      <c r="C20" s="43" t="s">
        <v>53</v>
      </c>
      <c r="D20" s="47"/>
      <c r="E20" s="45" t="s">
        <v>52</v>
      </c>
      <c r="F20" s="42"/>
      <c r="G20" s="46" t="s">
        <v>54</v>
      </c>
      <c r="H20" s="45" t="s">
        <v>53</v>
      </c>
      <c r="I20" s="44"/>
      <c r="J20" s="43" t="s">
        <v>52</v>
      </c>
      <c r="K20" s="42"/>
      <c r="M20" s="109"/>
    </row>
    <row r="21" spans="2:13" ht="16" thickBot="1">
      <c r="B21" s="145" t="s">
        <v>51</v>
      </c>
      <c r="C21" s="146"/>
      <c r="D21" s="154">
        <f>D20+F20</f>
        <v>0</v>
      </c>
      <c r="E21" s="155"/>
      <c r="F21" s="156"/>
      <c r="G21" s="147" t="s">
        <v>51</v>
      </c>
      <c r="H21" s="146"/>
      <c r="I21" s="154">
        <f>SUM(I20+K20)</f>
        <v>0</v>
      </c>
      <c r="J21" s="155"/>
      <c r="K21" s="156"/>
    </row>
    <row r="22" spans="2:13" ht="10" customHeight="1">
      <c r="B22" s="41"/>
      <c r="C22" s="40"/>
      <c r="D22" s="40"/>
      <c r="E22" s="40"/>
      <c r="F22" s="40"/>
      <c r="G22" s="40"/>
      <c r="H22" s="40"/>
      <c r="I22" s="40"/>
      <c r="J22" s="40"/>
      <c r="K22" s="40"/>
      <c r="L22" s="40"/>
    </row>
    <row r="23" spans="2:13" ht="27" customHeight="1">
      <c r="B23" s="37" t="s">
        <v>47</v>
      </c>
      <c r="C23" s="148"/>
      <c r="D23" s="149"/>
      <c r="E23" s="149"/>
      <c r="F23" s="149"/>
      <c r="G23" s="149"/>
      <c r="H23" s="119"/>
      <c r="I23" s="40"/>
      <c r="J23" s="40"/>
      <c r="K23" s="40"/>
      <c r="L23" s="40"/>
    </row>
    <row r="24" spans="2:13" ht="7" customHeight="1">
      <c r="B24" s="37"/>
      <c r="C24" s="149"/>
      <c r="D24" s="149"/>
      <c r="E24" s="149"/>
      <c r="F24" s="149"/>
      <c r="G24" s="149"/>
    </row>
    <row r="25" spans="2:13">
      <c r="B25" s="150" t="s">
        <v>50</v>
      </c>
      <c r="C25" s="150"/>
    </row>
    <row r="26" spans="2:13" ht="16" thickBot="1"/>
    <row r="27" spans="2:13">
      <c r="B27" s="39" t="s">
        <v>49</v>
      </c>
      <c r="C27" s="151"/>
      <c r="D27" s="152"/>
      <c r="E27" s="152"/>
      <c r="F27" s="153"/>
      <c r="I27" s="143"/>
      <c r="J27" s="143"/>
      <c r="K27" s="143"/>
      <c r="L27" s="143"/>
    </row>
    <row r="28" spans="2:13" ht="31.5" thickBot="1">
      <c r="B28" s="38" t="s">
        <v>48</v>
      </c>
      <c r="C28" s="140"/>
      <c r="D28" s="141"/>
      <c r="E28" s="141"/>
      <c r="F28" s="142"/>
      <c r="I28" s="143"/>
      <c r="J28" s="143"/>
      <c r="K28" s="143"/>
      <c r="L28" s="143"/>
    </row>
    <row r="30" spans="2:13">
      <c r="B30" s="37" t="s">
        <v>47</v>
      </c>
      <c r="C30" s="144"/>
      <c r="D30" s="144"/>
      <c r="E30" s="144"/>
      <c r="F30" s="144"/>
      <c r="G30" s="144"/>
      <c r="H30" s="36"/>
      <c r="I30" s="36"/>
      <c r="J30" s="36"/>
      <c r="K30" s="36"/>
      <c r="L30" s="36"/>
    </row>
    <row r="31" spans="2:13">
      <c r="B31" s="37"/>
      <c r="C31" s="144"/>
      <c r="D31" s="144"/>
      <c r="E31" s="144"/>
      <c r="F31" s="144"/>
      <c r="G31" s="144"/>
      <c r="H31" s="36"/>
      <c r="I31" s="36"/>
      <c r="J31" s="36"/>
      <c r="K31" s="36"/>
      <c r="L31" s="36"/>
    </row>
    <row r="32" spans="2:13">
      <c r="B32" s="37"/>
      <c r="C32" s="109"/>
      <c r="D32" s="34"/>
      <c r="E32" s="34"/>
      <c r="F32" s="34"/>
      <c r="G32" s="34"/>
      <c r="H32" s="36"/>
      <c r="I32" s="36"/>
      <c r="J32" s="36"/>
      <c r="K32" s="36"/>
      <c r="L32" s="36"/>
    </row>
  </sheetData>
  <mergeCells count="38">
    <mergeCell ref="C5:F5"/>
    <mergeCell ref="H5:K5"/>
    <mergeCell ref="C7:F7"/>
    <mergeCell ref="H7:K7"/>
    <mergeCell ref="E8:F8"/>
    <mergeCell ref="C6:F6"/>
    <mergeCell ref="H6:K6"/>
    <mergeCell ref="B1:C1"/>
    <mergeCell ref="G1:H1"/>
    <mergeCell ref="C3:F3"/>
    <mergeCell ref="H3:K3"/>
    <mergeCell ref="C4:F4"/>
    <mergeCell ref="H4:K4"/>
    <mergeCell ref="C16:F16"/>
    <mergeCell ref="H16:K16"/>
    <mergeCell ref="C10:F10"/>
    <mergeCell ref="C12:G13"/>
    <mergeCell ref="B14:C14"/>
    <mergeCell ref="G14:H14"/>
    <mergeCell ref="G8:K10"/>
    <mergeCell ref="E9:F9"/>
    <mergeCell ref="C17:F17"/>
    <mergeCell ref="H17:K17"/>
    <mergeCell ref="C18:F18"/>
    <mergeCell ref="H18:K18"/>
    <mergeCell ref="C19:F19"/>
    <mergeCell ref="H19:K19"/>
    <mergeCell ref="C28:F28"/>
    <mergeCell ref="I28:L28"/>
    <mergeCell ref="C30:G31"/>
    <mergeCell ref="B21:C21"/>
    <mergeCell ref="G21:H21"/>
    <mergeCell ref="C23:G24"/>
    <mergeCell ref="B25:C25"/>
    <mergeCell ref="C27:F27"/>
    <mergeCell ref="I27:L27"/>
    <mergeCell ref="D21:F21"/>
    <mergeCell ref="I21:K21"/>
  </mergeCells>
  <pageMargins left="0.7" right="0.7" top="0.75" bottom="0.75" header="0.3" footer="0.3"/>
  <pageSetup paperSize="9" scale="56" orientation="portrait" horizontalDpi="0" verticalDpi="0"/>
  <rowBreaks count="1" manualBreakCount="1">
    <brk id="35" max="16383" man="1"/>
  </rowBreaks>
  <colBreaks count="1" manualBreakCount="1">
    <brk id="12" max="1048575" man="1"/>
  </col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EEEF5C9-770F-864A-BFEF-DC9F2DA1F058}">
          <x14:formula1>
            <xm:f>Formules!$I$7:$I$11</xm:f>
          </x14:formula1>
          <xm:sqref>C8</xm:sqref>
        </x14:dataValidation>
        <x14:dataValidation type="list" allowBlank="1" showInputMessage="1" showErrorMessage="1" xr:uid="{B2B73AF5-7AF7-3C45-9708-C9BD92C7D2AA}">
          <x14:formula1>
            <xm:f>Formules!$J$7:$J$10</xm:f>
          </x14:formula1>
          <xm:sqref>E8:F8</xm:sqref>
        </x14:dataValidation>
        <x14:dataValidation type="list" allowBlank="1" showInputMessage="1" showErrorMessage="1" xr:uid="{03095DC0-EADA-CC45-85B1-F7A405DB6A0C}">
          <x14:formula1>
            <xm:f>Formules!$B$7:$B$10</xm:f>
          </x14:formula1>
          <xm:sqref>C9</xm:sqref>
        </x14:dataValidation>
        <x14:dataValidation type="list" allowBlank="1" showInputMessage="1" showErrorMessage="1" xr:uid="{02C05077-3299-1D4D-B4B7-11812C5DEDE6}">
          <x14:formula1>
            <xm:f>Formules!$K$7:$K$11</xm:f>
          </x14:formula1>
          <xm:sqref>C10:F10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AAC05-523F-F14E-A53E-8AE35335BC87}">
  <sheetPr>
    <tabColor rgb="FFFF0000"/>
  </sheetPr>
  <dimension ref="B2:K30"/>
  <sheetViews>
    <sheetView showGridLines="0" topLeftCell="A18" zoomScaleNormal="120" workbookViewId="0">
      <selection activeCell="F15" activeCellId="3" sqref="D5:F5 D6 D14:I14 F15:I15"/>
    </sheetView>
  </sheetViews>
  <sheetFormatPr baseColWidth="10" defaultColWidth="10.81640625" defaultRowHeight="15.5"/>
  <cols>
    <col min="1" max="1" width="3.453125" style="34" customWidth="1"/>
    <col min="2" max="2" width="16.81640625" style="34" customWidth="1"/>
    <col min="3" max="3" width="10.54296875" style="34" customWidth="1"/>
    <col min="4" max="4" width="22.26953125" style="34" customWidth="1"/>
    <col min="5" max="5" width="16.81640625" style="34" bestFit="1" customWidth="1"/>
    <col min="6" max="6" width="38.81640625" style="34" customWidth="1"/>
    <col min="7" max="7" width="11.81640625" style="34" customWidth="1"/>
    <col min="8" max="8" width="7.453125" style="34" customWidth="1"/>
    <col min="9" max="9" width="8.81640625" style="34" customWidth="1"/>
    <col min="10" max="10" width="10.453125" style="34" customWidth="1"/>
    <col min="11" max="16384" width="10.81640625" style="34"/>
  </cols>
  <sheetData>
    <row r="2" spans="2:11">
      <c r="D2" s="138" t="s">
        <v>89</v>
      </c>
      <c r="E2" s="138"/>
    </row>
    <row r="3" spans="2:11">
      <c r="B3" s="63" t="s">
        <v>88</v>
      </c>
      <c r="D3" s="63"/>
    </row>
    <row r="4" spans="2:11" ht="16" thickBot="1">
      <c r="C4" s="82"/>
      <c r="D4" s="82"/>
      <c r="E4" s="82"/>
      <c r="F4" s="82"/>
      <c r="G4" s="82"/>
      <c r="H4" s="82"/>
      <c r="I4" s="82"/>
    </row>
    <row r="5" spans="2:11">
      <c r="B5" s="201" t="s">
        <v>87</v>
      </c>
      <c r="C5" s="202"/>
      <c r="D5" s="214"/>
      <c r="E5" s="215"/>
      <c r="F5" s="216"/>
      <c r="H5" s="109"/>
    </row>
    <row r="6" spans="2:11">
      <c r="B6" s="212" t="s">
        <v>86</v>
      </c>
      <c r="C6" s="213"/>
      <c r="D6" s="81"/>
      <c r="E6" s="76" t="s">
        <v>85</v>
      </c>
      <c r="F6" s="116"/>
      <c r="G6" s="118"/>
      <c r="H6" s="109"/>
    </row>
    <row r="7" spans="2:11">
      <c r="B7" s="195" t="s">
        <v>81</v>
      </c>
      <c r="C7" s="196"/>
      <c r="D7" s="80"/>
      <c r="E7" s="76" t="s">
        <v>80</v>
      </c>
      <c r="F7" s="116"/>
      <c r="G7" s="109"/>
      <c r="H7" s="109"/>
    </row>
    <row r="8" spans="2:11">
      <c r="B8" s="195" t="s">
        <v>75</v>
      </c>
      <c r="C8" s="196"/>
      <c r="D8" s="80"/>
      <c r="E8" s="76" t="s">
        <v>84</v>
      </c>
      <c r="F8" s="115"/>
      <c r="G8" s="120"/>
      <c r="H8" s="109"/>
    </row>
    <row r="9" spans="2:11" ht="16" thickBot="1">
      <c r="B9" s="197" t="s">
        <v>132</v>
      </c>
      <c r="C9" s="198"/>
      <c r="D9" s="79"/>
      <c r="E9" s="60" t="s">
        <v>79</v>
      </c>
      <c r="F9" s="114"/>
      <c r="G9" s="110"/>
      <c r="H9" s="109"/>
    </row>
    <row r="10" spans="2:11">
      <c r="B10" s="189" t="s">
        <v>47</v>
      </c>
      <c r="C10" s="199"/>
      <c r="D10" s="199"/>
      <c r="E10" s="199"/>
      <c r="F10" s="199"/>
      <c r="G10" s="200"/>
      <c r="H10" s="200"/>
      <c r="I10" s="200"/>
      <c r="J10" s="78"/>
      <c r="K10" s="77"/>
    </row>
    <row r="11" spans="2:11">
      <c r="B11" s="189"/>
      <c r="C11" s="200"/>
      <c r="D11" s="200"/>
      <c r="E11" s="200"/>
      <c r="F11" s="200"/>
      <c r="G11" s="200"/>
      <c r="H11" s="200"/>
      <c r="I11" s="200"/>
      <c r="J11" s="78"/>
      <c r="K11" s="77"/>
    </row>
    <row r="12" spans="2:11">
      <c r="B12" s="63" t="s">
        <v>83</v>
      </c>
      <c r="D12" s="63"/>
      <c r="E12" s="109"/>
    </row>
    <row r="13" spans="2:11" ht="16" thickBot="1"/>
    <row r="14" spans="2:11">
      <c r="B14" s="201" t="s">
        <v>82</v>
      </c>
      <c r="C14" s="202"/>
      <c r="D14" s="203"/>
      <c r="E14" s="204"/>
      <c r="F14" s="204"/>
      <c r="G14" s="204"/>
      <c r="H14" s="204"/>
      <c r="I14" s="205"/>
      <c r="J14" s="109"/>
    </row>
    <row r="15" spans="2:11">
      <c r="B15" s="195" t="s">
        <v>81</v>
      </c>
      <c r="C15" s="196"/>
      <c r="D15" s="75"/>
      <c r="E15" s="76" t="s">
        <v>80</v>
      </c>
      <c r="F15" s="206"/>
      <c r="G15" s="207"/>
      <c r="H15" s="207"/>
      <c r="I15" s="208"/>
      <c r="J15" s="107"/>
      <c r="K15" s="109"/>
    </row>
    <row r="16" spans="2:11">
      <c r="B16" s="195" t="s">
        <v>75</v>
      </c>
      <c r="C16" s="196"/>
      <c r="D16" s="75"/>
      <c r="E16" s="74" t="s">
        <v>73</v>
      </c>
      <c r="F16" s="209"/>
      <c r="G16" s="210"/>
      <c r="H16" s="210"/>
      <c r="I16" s="211"/>
      <c r="K16" s="109"/>
    </row>
    <row r="17" spans="2:11">
      <c r="B17" s="73" t="s">
        <v>132</v>
      </c>
      <c r="C17" s="72"/>
      <c r="D17" s="71"/>
      <c r="E17" s="70" t="s">
        <v>79</v>
      </c>
      <c r="F17" s="69"/>
      <c r="G17" s="68"/>
      <c r="H17" s="68"/>
      <c r="I17" s="67"/>
      <c r="K17" s="109"/>
    </row>
    <row r="18" spans="2:11" ht="16" thickBot="1">
      <c r="B18" s="66" t="s">
        <v>78</v>
      </c>
      <c r="C18" s="65"/>
      <c r="D18" s="64"/>
      <c r="E18" s="192"/>
      <c r="F18" s="193"/>
      <c r="G18" s="193"/>
      <c r="H18" s="193"/>
      <c r="I18" s="194"/>
    </row>
    <row r="19" spans="2:11">
      <c r="B19" s="189" t="s">
        <v>47</v>
      </c>
      <c r="C19" s="191"/>
      <c r="D19" s="191"/>
      <c r="E19" s="191"/>
      <c r="F19" s="191"/>
      <c r="G19" s="191"/>
      <c r="H19" s="191"/>
      <c r="I19" s="191"/>
      <c r="J19" s="109"/>
    </row>
    <row r="20" spans="2:11">
      <c r="B20" s="189"/>
      <c r="C20" s="190"/>
      <c r="D20" s="190"/>
      <c r="E20" s="190"/>
      <c r="F20" s="190"/>
      <c r="G20" s="190"/>
      <c r="H20" s="190"/>
      <c r="I20" s="190"/>
    </row>
    <row r="21" spans="2:11">
      <c r="B21" s="63" t="s">
        <v>77</v>
      </c>
    </row>
    <row r="22" spans="2:11" ht="16" thickBot="1"/>
    <row r="23" spans="2:11">
      <c r="B23" s="39" t="s">
        <v>76</v>
      </c>
      <c r="C23" s="151"/>
      <c r="D23" s="152"/>
      <c r="E23" s="152"/>
      <c r="F23" s="152"/>
      <c r="G23" s="152"/>
      <c r="H23" s="152"/>
      <c r="I23" s="153"/>
    </row>
    <row r="24" spans="2:11" ht="16" thickBot="1">
      <c r="B24" s="62" t="s">
        <v>75</v>
      </c>
      <c r="C24" s="61"/>
      <c r="D24" s="60" t="s">
        <v>74</v>
      </c>
      <c r="E24" s="61"/>
      <c r="F24" s="60" t="s">
        <v>73</v>
      </c>
      <c r="G24" s="61"/>
      <c r="H24" s="60" t="s">
        <v>72</v>
      </c>
      <c r="I24" s="59"/>
    </row>
    <row r="25" spans="2:11" ht="16" thickBot="1">
      <c r="B25" s="35"/>
      <c r="C25" s="35"/>
      <c r="D25" s="35"/>
      <c r="E25" s="35"/>
      <c r="F25" s="35"/>
      <c r="G25" s="35"/>
      <c r="H25" s="35"/>
      <c r="I25" s="35"/>
    </row>
    <row r="26" spans="2:11">
      <c r="B26" s="39" t="s">
        <v>76</v>
      </c>
      <c r="C26" s="151"/>
      <c r="D26" s="152"/>
      <c r="E26" s="152"/>
      <c r="F26" s="152"/>
      <c r="G26" s="152"/>
      <c r="H26" s="152"/>
      <c r="I26" s="153"/>
    </row>
    <row r="27" spans="2:11" ht="16" thickBot="1">
      <c r="B27" s="62" t="s">
        <v>75</v>
      </c>
      <c r="C27" s="61"/>
      <c r="D27" s="60" t="s">
        <v>74</v>
      </c>
      <c r="E27" s="61"/>
      <c r="F27" s="60" t="s">
        <v>73</v>
      </c>
      <c r="G27" s="61"/>
      <c r="H27" s="60" t="s">
        <v>72</v>
      </c>
      <c r="I27" s="59"/>
    </row>
    <row r="29" spans="2:11">
      <c r="B29" s="188"/>
      <c r="C29" s="190"/>
      <c r="D29" s="190"/>
      <c r="E29" s="190"/>
      <c r="F29" s="190"/>
      <c r="G29" s="190"/>
      <c r="H29" s="190"/>
      <c r="I29" s="190"/>
    </row>
    <row r="30" spans="2:11">
      <c r="B30" s="188"/>
      <c r="C30" s="190"/>
      <c r="D30" s="190"/>
      <c r="E30" s="190"/>
      <c r="F30" s="190"/>
      <c r="G30" s="190"/>
      <c r="H30" s="190"/>
      <c r="I30" s="190"/>
    </row>
  </sheetData>
  <mergeCells count="22">
    <mergeCell ref="B7:C7"/>
    <mergeCell ref="D2:E2"/>
    <mergeCell ref="B5:C5"/>
    <mergeCell ref="B6:C6"/>
    <mergeCell ref="D5:F5"/>
    <mergeCell ref="E18:I18"/>
    <mergeCell ref="B8:C8"/>
    <mergeCell ref="B9:C9"/>
    <mergeCell ref="B10:B11"/>
    <mergeCell ref="C10:I11"/>
    <mergeCell ref="B14:C14"/>
    <mergeCell ref="D14:I14"/>
    <mergeCell ref="B15:C15"/>
    <mergeCell ref="B16:C16"/>
    <mergeCell ref="F15:I15"/>
    <mergeCell ref="F16:I16"/>
    <mergeCell ref="B29:B30"/>
    <mergeCell ref="B19:B20"/>
    <mergeCell ref="C29:I30"/>
    <mergeCell ref="C26:I26"/>
    <mergeCell ref="C23:I23"/>
    <mergeCell ref="C19:I20"/>
  </mergeCells>
  <pageMargins left="0.7" right="0.7" top="0.75" bottom="0.75" header="0.3" footer="0.3"/>
  <pageSetup paperSize="9" scale="79" orientation="portrait" r:id="rId1"/>
  <colBreaks count="1" manualBreakCount="1">
    <brk id="10" max="1048575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C293AC3-DA8B-FD4A-B2BE-98EEDEE557CB}">
          <x14:formula1>
            <xm:f>Formules!$C$7:$C$10</xm:f>
          </x14:formula1>
          <xm:sqref>D6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1AA26-9C74-9F4E-A90C-7FE71C7ED05E}">
  <sheetPr>
    <tabColor rgb="FFFF0000"/>
  </sheetPr>
  <dimension ref="B2:L32"/>
  <sheetViews>
    <sheetView showGridLines="0" topLeftCell="A4" zoomScale="94" zoomScaleNormal="120" workbookViewId="0">
      <selection activeCell="B26" sqref="B26"/>
    </sheetView>
  </sheetViews>
  <sheetFormatPr baseColWidth="10" defaultColWidth="10.81640625" defaultRowHeight="15.5"/>
  <cols>
    <col min="1" max="1" width="2.453125" style="34" customWidth="1"/>
    <col min="2" max="2" width="26.26953125" style="34" bestFit="1" customWidth="1"/>
    <col min="3" max="3" width="32.26953125" style="34" bestFit="1" customWidth="1"/>
    <col min="4" max="4" width="14.54296875" style="117" bestFit="1" customWidth="1"/>
    <col min="5" max="5" width="13.54296875" style="34" customWidth="1"/>
    <col min="6" max="9" width="10.81640625" style="34"/>
    <col min="10" max="10" width="14.81640625" style="34" hidden="1" customWidth="1"/>
    <col min="11" max="11" width="38.54296875" style="34" customWidth="1"/>
    <col min="12" max="13" width="18.453125" style="34" customWidth="1"/>
    <col min="14" max="16384" width="10.81640625" style="34"/>
  </cols>
  <sheetData>
    <row r="2" spans="2:12">
      <c r="D2" s="138" t="s">
        <v>96</v>
      </c>
      <c r="E2" s="138"/>
    </row>
    <row r="4" spans="2:12" s="83" customFormat="1" ht="31">
      <c r="B4" s="121" t="s">
        <v>95</v>
      </c>
      <c r="C4" s="121" t="s">
        <v>94</v>
      </c>
      <c r="D4" s="121" t="s">
        <v>93</v>
      </c>
      <c r="E4" s="121" t="s">
        <v>92</v>
      </c>
      <c r="F4" s="139" t="s">
        <v>91</v>
      </c>
      <c r="G4" s="139"/>
      <c r="H4" s="139"/>
      <c r="I4" s="139"/>
      <c r="J4" s="139"/>
      <c r="K4" s="139"/>
    </row>
    <row r="5" spans="2:12">
      <c r="B5" s="137"/>
      <c r="C5" s="122" t="s">
        <v>138</v>
      </c>
      <c r="D5" s="123"/>
      <c r="E5" s="124"/>
      <c r="F5" s="135"/>
      <c r="G5" s="136"/>
      <c r="H5" s="136"/>
      <c r="I5" s="136"/>
      <c r="J5" s="136"/>
      <c r="K5" s="136"/>
    </row>
    <row r="6" spans="2:12">
      <c r="B6" s="137"/>
      <c r="C6" s="122" t="s">
        <v>140</v>
      </c>
      <c r="D6" s="123"/>
      <c r="E6" s="124"/>
      <c r="F6" s="135"/>
      <c r="G6" s="136"/>
      <c r="H6" s="136"/>
      <c r="I6" s="136"/>
      <c r="J6" s="136"/>
      <c r="K6" s="136"/>
    </row>
    <row r="7" spans="2:12">
      <c r="B7" s="137"/>
      <c r="C7" s="122" t="s">
        <v>142</v>
      </c>
      <c r="D7" s="123"/>
      <c r="E7" s="124"/>
      <c r="F7" s="135"/>
      <c r="G7" s="136"/>
      <c r="H7" s="136"/>
      <c r="I7" s="136"/>
      <c r="J7" s="136"/>
      <c r="K7" s="136"/>
      <c r="L7" s="109"/>
    </row>
    <row r="8" spans="2:12">
      <c r="B8" s="137"/>
      <c r="C8" s="122" t="s">
        <v>139</v>
      </c>
      <c r="D8" s="123"/>
      <c r="E8" s="125"/>
      <c r="F8" s="135"/>
      <c r="G8" s="136"/>
      <c r="H8" s="136"/>
      <c r="I8" s="136"/>
      <c r="J8" s="136"/>
      <c r="K8" s="136"/>
      <c r="L8" s="109"/>
    </row>
    <row r="9" spans="2:12">
      <c r="B9" s="137"/>
      <c r="C9" s="122" t="s">
        <v>141</v>
      </c>
      <c r="D9" s="123"/>
      <c r="E9" s="124"/>
      <c r="F9" s="135"/>
      <c r="G9" s="136"/>
      <c r="H9" s="136"/>
      <c r="I9" s="136"/>
      <c r="J9" s="136"/>
      <c r="K9" s="136"/>
      <c r="L9" s="109"/>
    </row>
    <row r="10" spans="2:12">
      <c r="B10" s="137"/>
      <c r="C10" s="122" t="s">
        <v>143</v>
      </c>
      <c r="D10" s="123"/>
      <c r="E10" s="125"/>
      <c r="F10" s="135"/>
      <c r="G10" s="136"/>
      <c r="H10" s="136"/>
      <c r="I10" s="136"/>
      <c r="J10" s="136"/>
      <c r="K10" s="136"/>
      <c r="L10" s="109"/>
    </row>
    <row r="11" spans="2:12">
      <c r="B11" s="137"/>
      <c r="C11" s="122" t="s">
        <v>144</v>
      </c>
      <c r="D11" s="123"/>
      <c r="E11" s="124"/>
      <c r="F11" s="135"/>
      <c r="G11" s="136"/>
      <c r="H11" s="136"/>
      <c r="I11" s="136"/>
      <c r="J11" s="136"/>
      <c r="K11" s="136"/>
      <c r="L11" s="109"/>
    </row>
    <row r="12" spans="2:12">
      <c r="B12" s="137"/>
      <c r="C12" s="122" t="s">
        <v>144</v>
      </c>
      <c r="D12" s="123"/>
      <c r="E12" s="124"/>
      <c r="F12" s="135"/>
      <c r="G12" s="136"/>
      <c r="H12" s="136"/>
      <c r="I12" s="136"/>
      <c r="J12" s="136"/>
      <c r="K12" s="136"/>
      <c r="L12" s="109"/>
    </row>
    <row r="13" spans="2:12">
      <c r="B13" s="137"/>
      <c r="C13" s="122" t="s">
        <v>145</v>
      </c>
      <c r="D13" s="123"/>
      <c r="E13" s="124"/>
      <c r="F13" s="135"/>
      <c r="G13" s="136"/>
      <c r="H13" s="136"/>
      <c r="I13" s="136"/>
      <c r="J13" s="136"/>
      <c r="K13" s="136"/>
      <c r="L13" s="109"/>
    </row>
    <row r="14" spans="2:12">
      <c r="B14" s="137"/>
      <c r="C14" s="122" t="s">
        <v>147</v>
      </c>
      <c r="D14" s="126"/>
      <c r="E14" s="124"/>
      <c r="F14" s="135"/>
      <c r="G14" s="136"/>
      <c r="H14" s="136"/>
      <c r="I14" s="136"/>
      <c r="J14" s="136"/>
      <c r="K14" s="136"/>
      <c r="L14" s="109"/>
    </row>
    <row r="15" spans="2:12">
      <c r="B15" s="137"/>
      <c r="C15" s="122" t="s">
        <v>147</v>
      </c>
      <c r="D15" s="126"/>
      <c r="E15" s="124"/>
      <c r="F15" s="135"/>
      <c r="G15" s="136"/>
      <c r="H15" s="136"/>
      <c r="I15" s="136"/>
      <c r="J15" s="136"/>
      <c r="K15" s="136"/>
      <c r="L15" s="109"/>
    </row>
    <row r="16" spans="2:12">
      <c r="B16" s="137"/>
      <c r="C16" s="122" t="s">
        <v>146</v>
      </c>
      <c r="D16" s="127"/>
      <c r="E16" s="128"/>
      <c r="F16" s="135"/>
      <c r="G16" s="136"/>
      <c r="H16" s="136"/>
      <c r="I16" s="136"/>
      <c r="J16" s="136"/>
      <c r="K16" s="136"/>
    </row>
    <row r="17" spans="2:11">
      <c r="B17" s="137"/>
      <c r="C17" s="122"/>
      <c r="D17" s="127"/>
      <c r="E17" s="128"/>
      <c r="F17" s="135"/>
      <c r="G17" s="136"/>
      <c r="H17" s="136"/>
      <c r="I17" s="136"/>
      <c r="J17" s="136"/>
      <c r="K17" s="136"/>
    </row>
    <row r="18" spans="2:11">
      <c r="B18" s="137"/>
      <c r="C18" s="122"/>
      <c r="D18" s="127"/>
      <c r="E18" s="128"/>
      <c r="F18" s="135"/>
      <c r="G18" s="136"/>
      <c r="H18" s="136"/>
      <c r="I18" s="136"/>
      <c r="J18" s="136"/>
      <c r="K18" s="136"/>
    </row>
    <row r="19" spans="2:11">
      <c r="B19" s="137"/>
      <c r="C19" s="122"/>
      <c r="D19" s="127"/>
      <c r="E19" s="128"/>
      <c r="F19" s="135"/>
      <c r="G19" s="136"/>
      <c r="H19" s="136"/>
      <c r="I19" s="136"/>
      <c r="J19" s="136"/>
      <c r="K19" s="136"/>
    </row>
    <row r="20" spans="2:11">
      <c r="B20" s="137"/>
      <c r="C20" s="121"/>
      <c r="D20" s="127"/>
      <c r="E20" s="128"/>
      <c r="F20" s="135"/>
      <c r="G20" s="136"/>
      <c r="H20" s="136"/>
      <c r="I20" s="136"/>
      <c r="J20" s="136"/>
      <c r="K20" s="136"/>
    </row>
    <row r="21" spans="2:11">
      <c r="B21" s="137"/>
      <c r="C21" s="122"/>
      <c r="D21" s="127"/>
      <c r="E21" s="128"/>
      <c r="F21" s="135"/>
      <c r="G21" s="136"/>
      <c r="H21" s="136"/>
      <c r="I21" s="136"/>
      <c r="J21" s="136"/>
      <c r="K21" s="136"/>
    </row>
    <row r="22" spans="2:11">
      <c r="B22" s="137"/>
      <c r="C22" s="121"/>
      <c r="D22" s="127"/>
      <c r="E22" s="128"/>
      <c r="F22" s="135"/>
      <c r="G22" s="136"/>
      <c r="H22" s="136"/>
      <c r="I22" s="136"/>
      <c r="J22" s="136"/>
      <c r="K22" s="136"/>
    </row>
    <row r="23" spans="2:11">
      <c r="B23" s="137"/>
      <c r="C23" s="128"/>
      <c r="D23" s="127"/>
      <c r="E23" s="128"/>
      <c r="F23" s="135"/>
      <c r="G23" s="136"/>
      <c r="H23" s="136"/>
      <c r="I23" s="136"/>
      <c r="J23" s="136"/>
      <c r="K23" s="136"/>
    </row>
    <row r="24" spans="2:11">
      <c r="B24" s="137"/>
      <c r="C24" s="128"/>
      <c r="D24" s="129"/>
      <c r="E24" s="121"/>
      <c r="F24" s="135"/>
      <c r="G24" s="136"/>
      <c r="H24" s="136"/>
      <c r="I24" s="136"/>
      <c r="J24" s="136"/>
      <c r="K24" s="136"/>
    </row>
    <row r="25" spans="2:11">
      <c r="B25" s="137"/>
      <c r="C25" s="128"/>
      <c r="D25" s="124"/>
      <c r="E25" s="128"/>
      <c r="F25" s="135"/>
      <c r="G25" s="136"/>
      <c r="H25" s="136"/>
      <c r="I25" s="136"/>
      <c r="J25" s="136"/>
      <c r="K25" s="136"/>
    </row>
    <row r="26" spans="2:11">
      <c r="B26" s="121" t="s">
        <v>90</v>
      </c>
      <c r="C26" s="128"/>
      <c r="D26" s="130">
        <f>SUM(D5:D25)</f>
        <v>0</v>
      </c>
      <c r="E26" s="128"/>
      <c r="F26" s="135"/>
      <c r="G26" s="136"/>
      <c r="H26" s="136"/>
      <c r="I26" s="136"/>
      <c r="J26" s="136"/>
      <c r="K26" s="136"/>
    </row>
    <row r="30" spans="2:11">
      <c r="D30" s="132"/>
      <c r="E30" s="133"/>
      <c r="F30" s="134"/>
    </row>
    <row r="31" spans="2:11">
      <c r="D31" s="132"/>
      <c r="E31" s="134"/>
      <c r="F31" s="134"/>
    </row>
    <row r="32" spans="2:11">
      <c r="D32" s="132"/>
      <c r="E32" s="134"/>
      <c r="F32" s="134"/>
    </row>
  </sheetData>
  <mergeCells count="25">
    <mergeCell ref="F23:K23"/>
    <mergeCell ref="F12:K12"/>
    <mergeCell ref="F8:K8"/>
    <mergeCell ref="F26:K26"/>
    <mergeCell ref="F14:K14"/>
    <mergeCell ref="F17:K17"/>
    <mergeCell ref="F18:K18"/>
    <mergeCell ref="F15:K15"/>
    <mergeCell ref="F16:K16"/>
    <mergeCell ref="F6:K6"/>
    <mergeCell ref="B5:B25"/>
    <mergeCell ref="F25:K25"/>
    <mergeCell ref="D2:E2"/>
    <mergeCell ref="F4:K4"/>
    <mergeCell ref="F5:K5"/>
    <mergeCell ref="F10:K10"/>
    <mergeCell ref="F11:K11"/>
    <mergeCell ref="F7:K7"/>
    <mergeCell ref="F13:K13"/>
    <mergeCell ref="F9:K9"/>
    <mergeCell ref="F24:K24"/>
    <mergeCell ref="F19:K19"/>
    <mergeCell ref="F20:K20"/>
    <mergeCell ref="F21:K21"/>
    <mergeCell ref="F22:K22"/>
  </mergeCells>
  <pageMargins left="0.7" right="0.7" top="0.75" bottom="0.75" header="0.3" footer="0.3"/>
  <pageSetup paperSize="9" scale="65" orientation="portrait" horizontalDpi="0" verticalDpi="0"/>
  <colBreaks count="1" manualBreakCount="1">
    <brk id="1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58011-4FDF-D043-9F24-104875D9F3F1}">
  <dimension ref="A1:R31"/>
  <sheetViews>
    <sheetView workbookViewId="0">
      <selection activeCell="I13" sqref="I13"/>
    </sheetView>
  </sheetViews>
  <sheetFormatPr baseColWidth="10" defaultColWidth="10.81640625" defaultRowHeight="14.5"/>
  <cols>
    <col min="1" max="1" width="5.1796875" style="84" customWidth="1"/>
    <col min="2" max="2" width="17.54296875" style="84" customWidth="1"/>
    <col min="3" max="3" width="15.453125" style="84" customWidth="1"/>
    <col min="4" max="4" width="10.81640625" style="84"/>
    <col min="5" max="6" width="14.1796875" style="84" customWidth="1"/>
    <col min="7" max="10" width="10.81640625" style="84"/>
    <col min="11" max="11" width="23" style="84" customWidth="1"/>
    <col min="12" max="12" width="13.1796875" style="84" bestFit="1" customWidth="1"/>
    <col min="13" max="15" width="10.81640625" style="84"/>
    <col min="16" max="16" width="12.453125" style="84" customWidth="1"/>
    <col min="17" max="16384" width="10.81640625" style="84"/>
  </cols>
  <sheetData>
    <row r="1" spans="1:18" ht="15" thickBot="1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</row>
    <row r="2" spans="1:18" ht="56.5" customHeight="1" thickBot="1">
      <c r="A2" s="85"/>
      <c r="B2" s="218" t="s">
        <v>111</v>
      </c>
      <c r="C2" s="219"/>
      <c r="D2" s="219"/>
      <c r="E2" s="219"/>
      <c r="F2" s="220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</row>
    <row r="3" spans="1:18">
      <c r="A3" s="85"/>
      <c r="B3" s="95"/>
      <c r="C3" s="95"/>
      <c r="D3" s="95"/>
      <c r="E3" s="95"/>
      <c r="F3" s="9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</row>
    <row r="4" spans="1:18" ht="38.5" customHeight="1">
      <c r="A4" s="85"/>
      <c r="B4" s="217" t="s">
        <v>110</v>
      </c>
      <c r="C4" s="217"/>
      <c r="D4" s="95"/>
      <c r="E4" s="217" t="s">
        <v>109</v>
      </c>
      <c r="F4" s="217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</row>
    <row r="5" spans="1:18" ht="28">
      <c r="A5" s="85"/>
      <c r="B5" s="90" t="s">
        <v>108</v>
      </c>
      <c r="C5" s="97">
        <f>(REVENUS!D21*0.77)/12+(REVENUS!I21*0.77)/12</f>
        <v>0</v>
      </c>
      <c r="D5" s="95"/>
      <c r="E5" s="221">
        <f>IF(IMMOBILIER!D6="Locataire",(C5*12*5)-C19,(C5*12*8)-C7-C19)</f>
        <v>0</v>
      </c>
      <c r="F5" s="221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</row>
    <row r="6" spans="1:18" ht="16" customHeight="1">
      <c r="A6" s="85"/>
      <c r="B6" s="90" t="s">
        <v>107</v>
      </c>
      <c r="C6" s="97">
        <f>IMMOBILIER!F6</f>
        <v>0</v>
      </c>
      <c r="D6" s="95"/>
      <c r="E6" s="221"/>
      <c r="F6" s="221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</row>
    <row r="7" spans="1:18" ht="16" customHeight="1">
      <c r="A7" s="85"/>
      <c r="B7" s="90" t="s">
        <v>74</v>
      </c>
      <c r="C7" s="97">
        <f>IMMOBILIER!D9</f>
        <v>0</v>
      </c>
      <c r="D7" s="95"/>
      <c r="E7" s="99"/>
      <c r="F7" s="99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</row>
    <row r="8" spans="1:18" ht="32.15" customHeight="1">
      <c r="A8" s="85"/>
      <c r="B8" s="96" t="s">
        <v>106</v>
      </c>
      <c r="C8" s="87" t="e">
        <f>C6/C5</f>
        <v>#DIV/0!</v>
      </c>
      <c r="D8" s="95"/>
      <c r="E8" s="95"/>
      <c r="F8" s="9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</row>
    <row r="9" spans="1:18" ht="20.5" customHeight="1">
      <c r="A9" s="85"/>
      <c r="B9" s="94"/>
      <c r="C9" s="98"/>
      <c r="D9" s="95"/>
      <c r="E9" s="95"/>
      <c r="F9" s="9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</row>
    <row r="10" spans="1:18" ht="38.5" customHeight="1">
      <c r="A10" s="85"/>
      <c r="B10" s="217" t="s">
        <v>105</v>
      </c>
      <c r="C10" s="217"/>
      <c r="D10" s="95"/>
      <c r="E10" s="217" t="s">
        <v>104</v>
      </c>
      <c r="F10" s="217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</row>
    <row r="11" spans="1:18" ht="32.15" customHeight="1">
      <c r="A11" s="85"/>
      <c r="B11" s="90" t="s">
        <v>103</v>
      </c>
      <c r="C11" s="97">
        <f>IMMOBILIER!D18</f>
        <v>0</v>
      </c>
      <c r="D11" s="95"/>
      <c r="E11" s="92">
        <v>75000</v>
      </c>
      <c r="F11" s="108">
        <f>($C$6+$C$13+$C$18+Formules!B24)/($C$5+$C$12+Formules!D24)</f>
        <v>1.6666666666666667</v>
      </c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</row>
    <row r="12" spans="1:18" ht="32.15" customHeight="1">
      <c r="A12" s="85"/>
      <c r="B12" s="90" t="s">
        <v>102</v>
      </c>
      <c r="C12" s="97">
        <f>C11*0.7</f>
        <v>0</v>
      </c>
      <c r="D12" s="95"/>
      <c r="E12" s="92">
        <v>100000</v>
      </c>
      <c r="F12" s="108">
        <f>($C$6+$C$13+$C$18+Formules!B25)/($C$5+$C$12+Formules!D25)</f>
        <v>1.6437389770723103</v>
      </c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</row>
    <row r="13" spans="1:18" ht="32.15" customHeight="1">
      <c r="A13" s="85"/>
      <c r="B13" s="90" t="s">
        <v>101</v>
      </c>
      <c r="C13" s="97">
        <f>IMMOBILIER!F16</f>
        <v>0</v>
      </c>
      <c r="D13" s="95"/>
      <c r="E13" s="92">
        <v>150000</v>
      </c>
      <c r="F13" s="108">
        <f>($C$6+$C$13+$C$18+Formules!B26)/($C$5+$C$12+Formules!D26)</f>
        <v>1.6313213703099512</v>
      </c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</row>
    <row r="14" spans="1:18" ht="32.15" customHeight="1">
      <c r="A14" s="85"/>
      <c r="B14" s="90" t="s">
        <v>74</v>
      </c>
      <c r="C14" s="97">
        <f>IMMOBILIER!D17</f>
        <v>0</v>
      </c>
      <c r="D14" s="95"/>
      <c r="E14" s="92">
        <v>200000</v>
      </c>
      <c r="F14" s="108">
        <f>($C$6+$C$13+$C$18+Formules!B27)/($C$5+$C$12+Formules!D27)</f>
        <v>1.6182356011832262</v>
      </c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</row>
    <row r="15" spans="1:18" ht="42">
      <c r="A15" s="85"/>
      <c r="B15" s="96" t="s">
        <v>100</v>
      </c>
      <c r="C15" s="87" t="e">
        <f>(C6+C13)/(C12+C5)</f>
        <v>#DIV/0!</v>
      </c>
      <c r="D15" s="95"/>
      <c r="E15" s="92">
        <v>250000</v>
      </c>
      <c r="F15" s="108">
        <f>($C$6+$C$13+$C$18+Formules!B28)/($C$5+$C$12+Formules!D28)</f>
        <v>1.6144244105409153</v>
      </c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</row>
    <row r="16" spans="1:18" ht="32.15" customHeight="1">
      <c r="A16" s="85"/>
      <c r="B16" s="94"/>
      <c r="C16" s="93"/>
      <c r="D16" s="85"/>
      <c r="E16" s="92">
        <v>300000</v>
      </c>
      <c r="F16" s="108">
        <f>($C$6+$C$13+$C$18+Formules!B29)/($C$5+$C$12+Formules!D29)</f>
        <v>1.6155088852988693</v>
      </c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</row>
    <row r="17" spans="1:18">
      <c r="A17" s="85"/>
      <c r="B17" s="217" t="s">
        <v>99</v>
      </c>
      <c r="C17" s="217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</row>
    <row r="18" spans="1:18">
      <c r="A18" s="85"/>
      <c r="B18" s="90" t="s">
        <v>98</v>
      </c>
      <c r="C18" s="89">
        <f>IMMOBILIER!G24+IMMOBILIER!G27</f>
        <v>0</v>
      </c>
      <c r="D18" s="85"/>
      <c r="E18" s="85"/>
      <c r="F18" s="85"/>
      <c r="G18" s="91"/>
      <c r="H18" s="91"/>
      <c r="I18" s="91"/>
      <c r="J18" s="91"/>
      <c r="K18" s="85"/>
      <c r="L18" s="85"/>
      <c r="M18" s="85"/>
      <c r="N18" s="85"/>
      <c r="O18" s="85"/>
      <c r="P18" s="85"/>
      <c r="Q18" s="85"/>
      <c r="R18" s="85"/>
    </row>
    <row r="19" spans="1:18">
      <c r="A19" s="85"/>
      <c r="B19" s="90" t="s">
        <v>74</v>
      </c>
      <c r="C19" s="89">
        <f>IMMOBILIER!E24+IMMOBILIER!E27</f>
        <v>0</v>
      </c>
      <c r="D19" s="85"/>
      <c r="E19" s="86"/>
      <c r="F19" s="86"/>
      <c r="G19" s="86"/>
      <c r="H19" s="86"/>
      <c r="I19" s="86"/>
      <c r="J19" s="86"/>
      <c r="K19" s="85"/>
      <c r="L19" s="85"/>
      <c r="M19" s="85"/>
      <c r="N19" s="85"/>
      <c r="O19" s="85"/>
      <c r="P19" s="85"/>
      <c r="Q19" s="85"/>
      <c r="R19" s="85"/>
    </row>
    <row r="20" spans="1:18">
      <c r="A20" s="85"/>
      <c r="B20" s="88" t="s">
        <v>97</v>
      </c>
      <c r="C20" s="87" t="e">
        <f>(C6+C13+C18)/(C5+C12)</f>
        <v>#DIV/0!</v>
      </c>
      <c r="D20" s="85"/>
      <c r="E20" s="86"/>
      <c r="F20" s="86"/>
      <c r="G20" s="86"/>
      <c r="H20" s="86"/>
      <c r="I20" s="86"/>
      <c r="J20" s="86"/>
      <c r="K20" s="85"/>
      <c r="L20" s="85"/>
      <c r="M20" s="85"/>
      <c r="N20" s="85"/>
      <c r="O20" s="85"/>
      <c r="P20" s="85"/>
      <c r="Q20" s="85"/>
      <c r="R20" s="85"/>
    </row>
    <row r="21" spans="1:18">
      <c r="A21" s="85"/>
      <c r="B21" s="85"/>
      <c r="C21" s="85"/>
      <c r="D21" s="85"/>
      <c r="E21" s="86"/>
      <c r="F21" s="86"/>
      <c r="G21" s="86"/>
      <c r="H21" s="86"/>
      <c r="I21" s="86"/>
      <c r="J21" s="86"/>
      <c r="K21" s="85"/>
      <c r="L21" s="85"/>
      <c r="M21" s="85"/>
      <c r="N21" s="85"/>
      <c r="O21" s="85"/>
      <c r="P21" s="85"/>
      <c r="Q21" s="85"/>
      <c r="R21" s="85"/>
    </row>
    <row r="22" spans="1:18">
      <c r="A22" s="85"/>
      <c r="B22" s="85"/>
      <c r="C22" s="85"/>
      <c r="D22" s="85"/>
      <c r="E22" s="86"/>
      <c r="F22" s="86"/>
      <c r="G22" s="86"/>
      <c r="H22" s="86"/>
      <c r="I22" s="86"/>
      <c r="J22" s="86"/>
      <c r="K22" s="85"/>
      <c r="L22" s="85"/>
      <c r="M22" s="85"/>
      <c r="N22" s="85"/>
      <c r="O22" s="85"/>
      <c r="P22" s="85"/>
      <c r="Q22" s="85"/>
      <c r="R22" s="85"/>
    </row>
    <row r="23" spans="1:18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</row>
    <row r="24" spans="1:18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</row>
    <row r="25" spans="1:18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</row>
    <row r="26" spans="1:18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</row>
    <row r="27" spans="1:18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</row>
    <row r="28" spans="1:18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</row>
    <row r="29" spans="1:18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</row>
    <row r="30" spans="1:18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</row>
    <row r="31" spans="1:18">
      <c r="E31" s="85"/>
      <c r="F31" s="85"/>
    </row>
  </sheetData>
  <mergeCells count="7">
    <mergeCell ref="B17:C17"/>
    <mergeCell ref="B2:F2"/>
    <mergeCell ref="B4:C4"/>
    <mergeCell ref="E4:F4"/>
    <mergeCell ref="E5:F6"/>
    <mergeCell ref="B10:C10"/>
    <mergeCell ref="E10:F10"/>
  </mergeCells>
  <conditionalFormatting sqref="F11:F16">
    <cfRule type="cellIs" dxfId="6" priority="1" operator="greaterThan">
      <formula>0.45</formula>
    </cfRule>
    <cfRule type="cellIs" dxfId="5" priority="2" operator="lessThan">
      <formula>0.45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0DE81-BA62-584C-9E82-CF56BAE3A6F9}">
  <sheetPr>
    <tabColor rgb="FFFF0000"/>
  </sheetPr>
  <dimension ref="B3:N41"/>
  <sheetViews>
    <sheetView showGridLines="0" zoomScale="92" zoomScaleNormal="120" workbookViewId="0">
      <selection activeCell="D8" sqref="D8"/>
    </sheetView>
  </sheetViews>
  <sheetFormatPr baseColWidth="10" defaultColWidth="10.81640625" defaultRowHeight="15.5"/>
  <cols>
    <col min="1" max="1" width="3.1796875" style="34" customWidth="1"/>
    <col min="2" max="2" width="11.26953125" style="34" bestFit="1" customWidth="1"/>
    <col min="3" max="3" width="10.81640625" style="34"/>
    <col min="4" max="4" width="22.7265625" style="34" bestFit="1" customWidth="1"/>
    <col min="5" max="5" width="10.81640625" style="34"/>
    <col min="6" max="6" width="14.1796875" style="34" bestFit="1" customWidth="1"/>
    <col min="7" max="7" width="53.1796875" style="34" customWidth="1"/>
    <col min="8" max="16384" width="10.81640625" style="34"/>
  </cols>
  <sheetData>
    <row r="3" spans="2:14">
      <c r="B3" s="63" t="s">
        <v>131</v>
      </c>
      <c r="C3" s="35" t="s">
        <v>137</v>
      </c>
      <c r="D3" s="63" t="s">
        <v>112</v>
      </c>
      <c r="E3" s="35" t="s">
        <v>137</v>
      </c>
      <c r="F3" s="63" t="s">
        <v>135</v>
      </c>
      <c r="G3" s="228" t="s">
        <v>137</v>
      </c>
      <c r="H3" s="228"/>
      <c r="I3" s="228"/>
      <c r="J3" s="228"/>
      <c r="K3" s="228"/>
      <c r="L3" s="228"/>
      <c r="M3" s="228"/>
      <c r="N3" s="228"/>
    </row>
    <row r="4" spans="2:14">
      <c r="B4" s="109"/>
      <c r="C4" s="109"/>
      <c r="D4" s="109"/>
      <c r="E4" s="109"/>
      <c r="F4" s="109"/>
      <c r="G4" s="109"/>
      <c r="H4" s="109"/>
      <c r="I4" s="109"/>
      <c r="J4" s="109"/>
    </row>
    <row r="5" spans="2:14">
      <c r="E5" s="109"/>
      <c r="F5" s="109"/>
    </row>
    <row r="6" spans="2:14" ht="16" thickBot="1"/>
    <row r="7" spans="2:14" ht="16" thickBot="1">
      <c r="B7" s="229" t="s">
        <v>134</v>
      </c>
      <c r="C7" s="230"/>
      <c r="D7" s="113"/>
      <c r="E7" s="118"/>
      <c r="F7" s="109"/>
      <c r="I7" s="109"/>
    </row>
    <row r="8" spans="2:14">
      <c r="G8" s="109"/>
      <c r="H8" s="131"/>
      <c r="I8" s="109"/>
    </row>
    <row r="9" spans="2:14" ht="16" thickBot="1">
      <c r="I9" s="109"/>
    </row>
    <row r="10" spans="2:14" ht="16" thickBot="1">
      <c r="B10" s="231" t="s">
        <v>133</v>
      </c>
      <c r="C10" s="232"/>
      <c r="I10" s="109"/>
    </row>
    <row r="11" spans="2:14">
      <c r="I11" s="109"/>
    </row>
    <row r="12" spans="2:14" ht="15.65" customHeight="1">
      <c r="B12" s="233"/>
      <c r="C12" s="234"/>
      <c r="D12" s="234"/>
      <c r="E12" s="234"/>
      <c r="F12" s="234"/>
      <c r="G12" s="235"/>
      <c r="H12" s="100"/>
      <c r="I12" s="100"/>
      <c r="J12" s="100"/>
    </row>
    <row r="13" spans="2:14">
      <c r="B13" s="233"/>
      <c r="C13" s="226"/>
      <c r="D13" s="226"/>
      <c r="E13" s="226"/>
      <c r="F13" s="226"/>
      <c r="G13" s="227"/>
      <c r="H13" s="100"/>
      <c r="I13" s="100"/>
      <c r="J13" s="100"/>
      <c r="K13" s="109"/>
    </row>
    <row r="14" spans="2:14">
      <c r="B14" s="233"/>
      <c r="C14" s="226"/>
      <c r="D14" s="226"/>
      <c r="E14" s="226"/>
      <c r="F14" s="226"/>
      <c r="G14" s="227"/>
      <c r="H14" s="100"/>
      <c r="I14" s="100"/>
      <c r="J14" s="100"/>
    </row>
    <row r="15" spans="2:14">
      <c r="B15" s="233"/>
      <c r="C15" s="226"/>
      <c r="D15" s="226"/>
      <c r="E15" s="226"/>
      <c r="F15" s="226"/>
      <c r="G15" s="227"/>
      <c r="H15" s="100"/>
      <c r="I15" s="100"/>
      <c r="J15" s="100"/>
    </row>
    <row r="16" spans="2:14">
      <c r="B16" s="233"/>
      <c r="C16" s="226"/>
      <c r="D16" s="226"/>
      <c r="E16" s="226"/>
      <c r="F16" s="226"/>
      <c r="G16" s="227"/>
      <c r="H16" s="100"/>
      <c r="I16" s="100"/>
      <c r="J16" s="100"/>
    </row>
    <row r="17" spans="2:10">
      <c r="B17" s="233"/>
      <c r="C17" s="226"/>
      <c r="D17" s="226"/>
      <c r="E17" s="226"/>
      <c r="F17" s="226"/>
      <c r="G17" s="227"/>
      <c r="H17" s="100"/>
      <c r="I17" s="100"/>
      <c r="J17" s="100"/>
    </row>
    <row r="18" spans="2:10" ht="15.65" customHeight="1">
      <c r="B18" s="233"/>
      <c r="C18" s="226"/>
      <c r="D18" s="226"/>
      <c r="E18" s="226"/>
      <c r="F18" s="226"/>
      <c r="G18" s="227"/>
      <c r="H18" s="100"/>
      <c r="I18" s="100"/>
      <c r="J18" s="100"/>
    </row>
    <row r="19" spans="2:10">
      <c r="B19" s="225"/>
      <c r="C19" s="226"/>
      <c r="D19" s="226"/>
      <c r="E19" s="226"/>
      <c r="F19" s="226"/>
      <c r="G19" s="227"/>
      <c r="H19" s="100"/>
      <c r="I19" s="100"/>
      <c r="J19" s="100"/>
    </row>
    <row r="20" spans="2:10">
      <c r="B20" s="225"/>
      <c r="C20" s="226"/>
      <c r="D20" s="226"/>
      <c r="E20" s="226"/>
      <c r="F20" s="226"/>
      <c r="G20" s="227"/>
      <c r="H20" s="100"/>
      <c r="I20" s="100"/>
      <c r="J20" s="100"/>
    </row>
    <row r="21" spans="2:10">
      <c r="B21" s="225"/>
      <c r="C21" s="226"/>
      <c r="D21" s="226"/>
      <c r="E21" s="226"/>
      <c r="F21" s="226"/>
      <c r="G21" s="227"/>
      <c r="H21" s="100"/>
      <c r="I21" s="100"/>
      <c r="J21" s="100"/>
    </row>
    <row r="22" spans="2:10">
      <c r="B22" s="225"/>
      <c r="C22" s="226"/>
      <c r="D22" s="226"/>
      <c r="E22" s="226"/>
      <c r="F22" s="226"/>
      <c r="G22" s="227"/>
      <c r="H22" s="100"/>
      <c r="I22" s="100"/>
      <c r="J22" s="100"/>
    </row>
    <row r="23" spans="2:10">
      <c r="B23" s="225"/>
      <c r="C23" s="226"/>
      <c r="D23" s="226"/>
      <c r="E23" s="226"/>
      <c r="F23" s="226"/>
      <c r="G23" s="227"/>
      <c r="H23" s="100"/>
      <c r="I23" s="100"/>
      <c r="J23" s="100"/>
    </row>
    <row r="24" spans="2:10">
      <c r="B24" s="225"/>
      <c r="C24" s="226"/>
      <c r="D24" s="226"/>
      <c r="E24" s="226"/>
      <c r="F24" s="226"/>
      <c r="G24" s="227"/>
      <c r="H24" s="100"/>
      <c r="I24" s="100"/>
      <c r="J24" s="100"/>
    </row>
    <row r="25" spans="2:10">
      <c r="B25" s="225"/>
      <c r="C25" s="226"/>
      <c r="D25" s="226"/>
      <c r="E25" s="226"/>
      <c r="F25" s="226"/>
      <c r="G25" s="227"/>
      <c r="H25" s="100"/>
      <c r="I25" s="100"/>
      <c r="J25" s="100"/>
    </row>
    <row r="26" spans="2:10">
      <c r="B26" s="225"/>
      <c r="C26" s="226"/>
      <c r="D26" s="226"/>
      <c r="E26" s="226"/>
      <c r="F26" s="226"/>
      <c r="G26" s="227"/>
      <c r="H26" s="100"/>
      <c r="I26" s="100"/>
      <c r="J26" s="100"/>
    </row>
    <row r="27" spans="2:10">
      <c r="B27" s="225"/>
      <c r="C27" s="226"/>
      <c r="D27" s="226"/>
      <c r="E27" s="226"/>
      <c r="F27" s="226"/>
      <c r="G27" s="227"/>
      <c r="H27" s="100"/>
      <c r="I27" s="100"/>
      <c r="J27" s="100"/>
    </row>
    <row r="28" spans="2:10">
      <c r="B28" s="222"/>
      <c r="C28" s="223"/>
      <c r="D28" s="223"/>
      <c r="E28" s="223"/>
      <c r="F28" s="223"/>
      <c r="G28" s="224"/>
      <c r="H28" s="100"/>
      <c r="I28" s="100"/>
      <c r="J28" s="100"/>
    </row>
    <row r="29" spans="2:10">
      <c r="B29" s="222"/>
      <c r="C29" s="223"/>
      <c r="D29" s="223"/>
      <c r="E29" s="223"/>
      <c r="F29" s="223"/>
      <c r="G29" s="224"/>
      <c r="H29" s="100"/>
      <c r="I29" s="100"/>
      <c r="J29" s="100"/>
    </row>
    <row r="30" spans="2:10">
      <c r="B30" s="222"/>
      <c r="C30" s="223"/>
      <c r="D30" s="223"/>
      <c r="E30" s="223"/>
      <c r="F30" s="223"/>
      <c r="G30" s="224"/>
      <c r="H30" s="100"/>
      <c r="I30" s="100"/>
      <c r="J30" s="100"/>
    </row>
    <row r="31" spans="2:10">
      <c r="B31" s="222"/>
      <c r="C31" s="223"/>
      <c r="D31" s="223"/>
      <c r="E31" s="223"/>
      <c r="F31" s="223"/>
      <c r="G31" s="224"/>
      <c r="H31" s="100"/>
      <c r="I31" s="100"/>
      <c r="J31" s="100"/>
    </row>
    <row r="32" spans="2:10">
      <c r="B32" s="222"/>
      <c r="C32" s="223"/>
      <c r="D32" s="223"/>
      <c r="E32" s="223"/>
      <c r="F32" s="223"/>
      <c r="G32" s="224"/>
      <c r="H32" s="100"/>
      <c r="I32" s="100"/>
      <c r="J32" s="100"/>
    </row>
    <row r="33" spans="2:10">
      <c r="B33" s="222"/>
      <c r="C33" s="223"/>
      <c r="D33" s="223"/>
      <c r="E33" s="223"/>
      <c r="F33" s="223"/>
      <c r="G33" s="224"/>
      <c r="H33" s="100"/>
      <c r="I33" s="100"/>
      <c r="J33" s="100"/>
    </row>
    <row r="34" spans="2:10">
      <c r="B34" s="222"/>
      <c r="C34" s="223"/>
      <c r="D34" s="223"/>
      <c r="E34" s="223"/>
      <c r="F34" s="223"/>
      <c r="G34" s="224"/>
    </row>
    <row r="35" spans="2:10">
      <c r="B35" s="222"/>
      <c r="C35" s="223"/>
      <c r="D35" s="223"/>
      <c r="E35" s="223"/>
      <c r="F35" s="223"/>
      <c r="G35" s="224"/>
    </row>
    <row r="36" spans="2:10">
      <c r="B36" s="222"/>
      <c r="C36" s="223"/>
      <c r="D36" s="223"/>
      <c r="E36" s="223"/>
      <c r="F36" s="223"/>
      <c r="G36" s="224"/>
    </row>
    <row r="37" spans="2:10">
      <c r="B37" s="222"/>
      <c r="C37" s="223"/>
      <c r="D37" s="223"/>
      <c r="E37" s="223"/>
      <c r="F37" s="223"/>
      <c r="G37" s="224"/>
    </row>
    <row r="38" spans="2:10">
      <c r="B38" s="222"/>
      <c r="C38" s="223"/>
      <c r="D38" s="223"/>
      <c r="E38" s="223"/>
      <c r="F38" s="223"/>
      <c r="G38" s="224"/>
    </row>
    <row r="39" spans="2:10">
      <c r="B39" s="222"/>
      <c r="C39" s="223"/>
      <c r="D39" s="223"/>
      <c r="E39" s="223"/>
      <c r="F39" s="223"/>
      <c r="G39" s="224"/>
    </row>
    <row r="40" spans="2:10">
      <c r="B40" s="222"/>
      <c r="C40" s="223"/>
      <c r="D40" s="223"/>
      <c r="E40" s="223"/>
      <c r="F40" s="223"/>
      <c r="G40" s="224"/>
    </row>
    <row r="41" spans="2:10">
      <c r="B41" s="222"/>
      <c r="C41" s="223"/>
      <c r="D41" s="223"/>
      <c r="E41" s="223"/>
      <c r="F41" s="223"/>
      <c r="G41" s="224"/>
    </row>
  </sheetData>
  <mergeCells count="33">
    <mergeCell ref="B20:G20"/>
    <mergeCell ref="G3:N3"/>
    <mergeCell ref="B7:C7"/>
    <mergeCell ref="B10:C10"/>
    <mergeCell ref="B12:G12"/>
    <mergeCell ref="B13:G13"/>
    <mergeCell ref="B14:G14"/>
    <mergeCell ref="B15:G15"/>
    <mergeCell ref="B16:G16"/>
    <mergeCell ref="B17:G17"/>
    <mergeCell ref="B18:G18"/>
    <mergeCell ref="B19:G19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1:G31"/>
    <mergeCell ref="B30:G30"/>
    <mergeCell ref="B39:G39"/>
    <mergeCell ref="B40:G40"/>
    <mergeCell ref="B41:G41"/>
    <mergeCell ref="B33:G33"/>
    <mergeCell ref="B34:G34"/>
    <mergeCell ref="B35:G35"/>
    <mergeCell ref="B36:G36"/>
    <mergeCell ref="B37:G37"/>
    <mergeCell ref="B38:G38"/>
  </mergeCells>
  <pageMargins left="0.7" right="0.7" top="0.75" bottom="0.75" header="0.3" footer="0.3"/>
  <pageSetup paperSize="9" orientation="portrait" horizontalDpi="0" verticalDpi="0"/>
  <rowBreaks count="1" manualBreakCount="1">
    <brk id="4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006B6-CCA6-42DE-97F9-8B4825D13597}">
  <dimension ref="B1:K35"/>
  <sheetViews>
    <sheetView showGridLines="0" topLeftCell="A22" zoomScale="104" zoomScaleNormal="140" workbookViewId="0">
      <selection activeCell="F27" sqref="F27"/>
    </sheetView>
  </sheetViews>
  <sheetFormatPr baseColWidth="10" defaultColWidth="10.81640625" defaultRowHeight="14"/>
  <cols>
    <col min="1" max="1" width="10.81640625" style="2"/>
    <col min="2" max="2" width="15.453125" style="2" customWidth="1"/>
    <col min="3" max="3" width="67.453125" style="2" customWidth="1"/>
    <col min="4" max="4" width="11.453125" style="3" bestFit="1" customWidth="1"/>
    <col min="5" max="5" width="12.453125" style="3" customWidth="1"/>
    <col min="6" max="6" width="13.54296875" style="3" bestFit="1" customWidth="1"/>
    <col min="7" max="7" width="59.453125" style="2" bestFit="1" customWidth="1"/>
    <col min="8" max="16384" width="10.81640625" style="2"/>
  </cols>
  <sheetData>
    <row r="1" spans="2:11" ht="14.5" thickBot="1"/>
    <row r="2" spans="2:11" ht="14.5" thickBot="1">
      <c r="C2" s="8" t="s">
        <v>36</v>
      </c>
      <c r="D2" s="2"/>
      <c r="G2" s="2" t="s">
        <v>5</v>
      </c>
    </row>
    <row r="3" spans="2:11" ht="14.5" thickBot="1"/>
    <row r="4" spans="2:11">
      <c r="B4" s="241" t="s">
        <v>20</v>
      </c>
      <c r="C4" s="9" t="s">
        <v>19</v>
      </c>
      <c r="D4" s="10">
        <f>IMMOBILIER!F6+IMMOBILIER!F16+IMMOBILIER!G24+IMMOBILIER!G27</f>
        <v>0</v>
      </c>
      <c r="E4" s="11" t="s">
        <v>16</v>
      </c>
      <c r="F4" s="12" t="s">
        <v>15</v>
      </c>
    </row>
    <row r="5" spans="2:11" ht="14.5" thickBot="1">
      <c r="B5" s="242"/>
      <c r="C5" s="13" t="s">
        <v>38</v>
      </c>
      <c r="D5" s="14">
        <f>E5+F5</f>
        <v>0</v>
      </c>
      <c r="E5" s="15">
        <f>'Tx d''endettement'!C5</f>
        <v>0</v>
      </c>
      <c r="F5" s="16">
        <f>REVENUS!I21*0.77/12</f>
        <v>0</v>
      </c>
    </row>
    <row r="6" spans="2:11">
      <c r="B6" s="242"/>
      <c r="C6" s="17" t="s">
        <v>30</v>
      </c>
      <c r="D6" s="18" t="s">
        <v>25</v>
      </c>
      <c r="E6" s="2"/>
      <c r="F6" s="2"/>
      <c r="K6" s="4"/>
    </row>
    <row r="7" spans="2:11">
      <c r="B7" s="242"/>
      <c r="C7" s="17" t="s">
        <v>41</v>
      </c>
      <c r="D7" s="18" t="s">
        <v>42</v>
      </c>
      <c r="E7" s="2"/>
      <c r="F7" s="2"/>
      <c r="K7" s="4"/>
    </row>
    <row r="8" spans="2:11">
      <c r="B8" s="242"/>
      <c r="C8" s="17" t="s">
        <v>45</v>
      </c>
      <c r="D8" s="18">
        <f>REVENUS!C9</f>
        <v>0</v>
      </c>
      <c r="E8" s="2"/>
      <c r="F8" s="2"/>
      <c r="K8" s="4"/>
    </row>
    <row r="9" spans="2:11">
      <c r="B9" s="242"/>
      <c r="C9" s="17" t="s">
        <v>31</v>
      </c>
      <c r="D9" s="19">
        <f>IMMOBILIER!D18</f>
        <v>0</v>
      </c>
      <c r="E9" s="2"/>
      <c r="F9" s="2"/>
      <c r="K9" s="4"/>
    </row>
    <row r="10" spans="2:11">
      <c r="B10" s="242"/>
      <c r="C10" s="17" t="s">
        <v>27</v>
      </c>
      <c r="D10" s="19">
        <f>IMMOBILIER!D9+IMMOBILIER!D17+IMMOBILIER!E24+IMMOBILIER!E27</f>
        <v>0</v>
      </c>
      <c r="E10" s="2"/>
      <c r="F10" s="2"/>
      <c r="K10" s="4"/>
    </row>
    <row r="11" spans="2:11" ht="14.5" thickBot="1">
      <c r="B11" s="243"/>
      <c r="C11" s="20" t="s">
        <v>33</v>
      </c>
      <c r="D11" s="21">
        <f>FINANCIER!D26</f>
        <v>0</v>
      </c>
      <c r="E11" s="2"/>
      <c r="F11" s="2"/>
      <c r="K11" s="4"/>
    </row>
    <row r="12" spans="2:11" ht="7.5" customHeight="1" thickBot="1">
      <c r="E12" s="2"/>
      <c r="F12" s="2"/>
    </row>
    <row r="13" spans="2:11">
      <c r="B13" s="236" t="s">
        <v>46</v>
      </c>
      <c r="C13" s="22" t="s">
        <v>17</v>
      </c>
      <c r="D13" s="23">
        <v>200000</v>
      </c>
      <c r="E13" s="2"/>
      <c r="F13" s="2"/>
    </row>
    <row r="14" spans="2:11">
      <c r="B14" s="237"/>
      <c r="C14" s="24" t="s">
        <v>18</v>
      </c>
      <c r="D14" s="25">
        <v>4.9500000000000002E-2</v>
      </c>
      <c r="E14" s="5"/>
      <c r="F14" s="2"/>
    </row>
    <row r="15" spans="2:11">
      <c r="B15" s="237"/>
      <c r="C15" s="24" t="s">
        <v>37</v>
      </c>
      <c r="D15" s="26">
        <v>300</v>
      </c>
      <c r="E15" s="2"/>
      <c r="F15" s="2"/>
    </row>
    <row r="16" spans="2:11">
      <c r="B16" s="237"/>
      <c r="C16" s="24" t="s">
        <v>28</v>
      </c>
      <c r="D16" s="14">
        <f>PMT(D14/12,D15,-D13)</f>
        <v>1163.3612300100237</v>
      </c>
      <c r="E16" s="2"/>
      <c r="F16" s="6"/>
    </row>
    <row r="17" spans="2:7" ht="14.5" thickBot="1">
      <c r="B17" s="238"/>
      <c r="C17" s="27" t="s">
        <v>23</v>
      </c>
      <c r="D17" s="28">
        <f>(D13*0.055/12)*70%</f>
        <v>641.66666666666663</v>
      </c>
      <c r="E17" s="2"/>
      <c r="F17" s="6"/>
    </row>
    <row r="18" spans="2:7" ht="8.25" customHeight="1" thickBot="1">
      <c r="D18" s="2"/>
      <c r="E18" s="2"/>
      <c r="F18" s="6"/>
    </row>
    <row r="19" spans="2:7">
      <c r="B19" s="236" t="s">
        <v>40</v>
      </c>
      <c r="C19" s="29" t="s">
        <v>4</v>
      </c>
      <c r="D19" s="30">
        <f>(D4+D16)/(D5+D17+(0.7*D9))</f>
        <v>1.8130304883273098</v>
      </c>
      <c r="E19" s="2" t="s">
        <v>22</v>
      </c>
      <c r="F19" s="7"/>
      <c r="G19" s="2" t="s">
        <v>5</v>
      </c>
    </row>
    <row r="20" spans="2:7">
      <c r="B20" s="239"/>
      <c r="C20" s="31" t="s">
        <v>0</v>
      </c>
      <c r="D20" s="14">
        <f>IF(D6=Formules!C7,8*D5*12-(D13+D10),5*D5*12-(D13+D10))</f>
        <v>-200000</v>
      </c>
      <c r="E20" s="2" t="s">
        <v>21</v>
      </c>
      <c r="F20" s="6"/>
    </row>
    <row r="21" spans="2:7" ht="14.25" customHeight="1">
      <c r="B21" s="239"/>
      <c r="C21" s="31" t="s">
        <v>29</v>
      </c>
      <c r="D21" s="14">
        <f>(D5+D17+(0.7*D9))-(D4+D16)</f>
        <v>-521.69456334335712</v>
      </c>
      <c r="E21" s="2" t="s">
        <v>3</v>
      </c>
      <c r="F21" s="6"/>
    </row>
    <row r="22" spans="2:7" ht="14.5" thickBot="1">
      <c r="B22" s="240"/>
      <c r="C22" s="32" t="s">
        <v>34</v>
      </c>
      <c r="D22" s="33">
        <f>D11/D13</f>
        <v>0</v>
      </c>
      <c r="E22" s="2" t="s">
        <v>35</v>
      </c>
    </row>
    <row r="24" spans="2:7">
      <c r="C24" s="2" t="s">
        <v>136</v>
      </c>
    </row>
    <row r="25" spans="2:7">
      <c r="B25" s="106" t="s">
        <v>6</v>
      </c>
    </row>
    <row r="26" spans="2:7">
      <c r="B26" s="106" t="s">
        <v>32</v>
      </c>
    </row>
    <row r="27" spans="2:7">
      <c r="B27" s="106" t="s">
        <v>7</v>
      </c>
    </row>
    <row r="28" spans="2:7">
      <c r="B28" s="106" t="s">
        <v>8</v>
      </c>
    </row>
    <row r="29" spans="2:7">
      <c r="B29" s="106" t="s">
        <v>9</v>
      </c>
    </row>
    <row r="30" spans="2:7">
      <c r="B30" s="106" t="s">
        <v>10</v>
      </c>
    </row>
    <row r="31" spans="2:7">
      <c r="B31" s="106" t="s">
        <v>11</v>
      </c>
    </row>
    <row r="32" spans="2:7">
      <c r="B32" s="106" t="s">
        <v>12</v>
      </c>
    </row>
    <row r="33" spans="2:2">
      <c r="B33" s="106" t="s">
        <v>39</v>
      </c>
    </row>
    <row r="34" spans="2:2">
      <c r="B34" s="106" t="s">
        <v>13</v>
      </c>
    </row>
    <row r="35" spans="2:2">
      <c r="B35" s="106" t="s">
        <v>14</v>
      </c>
    </row>
  </sheetData>
  <mergeCells count="3">
    <mergeCell ref="B13:B17"/>
    <mergeCell ref="B19:B22"/>
    <mergeCell ref="B4:B11"/>
  </mergeCells>
  <conditionalFormatting sqref="D19">
    <cfRule type="cellIs" dxfId="4" priority="7" operator="greaterThan">
      <formula>0.45</formula>
    </cfRule>
  </conditionalFormatting>
  <conditionalFormatting sqref="D20">
    <cfRule type="cellIs" dxfId="3" priority="6" operator="lessThan">
      <formula>0</formula>
    </cfRule>
  </conditionalFormatting>
  <conditionalFormatting sqref="D22">
    <cfRule type="cellIs" dxfId="1" priority="3" operator="lessThan">
      <formula>0.15</formula>
    </cfRule>
    <cfRule type="cellIs" dxfId="0" priority="4" operator="lessThan">
      <formula>0.1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lessThan" id="{C90A84DD-AA74-463B-85C1-0E427E9D5A77}">
            <xm:f>Formules!$A$7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8B9FEE5-6F99-4441-AD6E-015EF7F1FC1F}">
          <x14:formula1>
            <xm:f>Formules!$C$7:$C$8</xm:f>
          </x14:formula1>
          <xm:sqref>D6</xm:sqref>
        </x14:dataValidation>
        <x14:dataValidation type="list" allowBlank="1" showInputMessage="1" showErrorMessage="1" xr:uid="{096B4286-E162-4FF9-A7FA-730980F3BE85}">
          <x14:formula1>
            <xm:f>Formules!$D$7:$D$8</xm:f>
          </x14:formula1>
          <xm:sqref>D7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4C975-DC5C-4E57-A0F3-2CCE5EBE01FA}">
  <dimension ref="A6:K29"/>
  <sheetViews>
    <sheetView workbookViewId="0">
      <selection activeCell="C23" sqref="C23"/>
    </sheetView>
  </sheetViews>
  <sheetFormatPr baseColWidth="10" defaultColWidth="10.54296875" defaultRowHeight="14.5"/>
  <cols>
    <col min="1" max="1" width="20.453125" style="103" bestFit="1" customWidth="1"/>
    <col min="2" max="2" width="42.453125" style="103" bestFit="1" customWidth="1"/>
    <col min="3" max="3" width="14.453125" style="103" bestFit="1" customWidth="1"/>
    <col min="4" max="4" width="28.81640625" style="103" bestFit="1" customWidth="1"/>
    <col min="5" max="5" width="33.54296875" style="103" bestFit="1" customWidth="1"/>
    <col min="6" max="7" width="10.54296875" style="103"/>
    <col min="8" max="8" width="14" style="103" bestFit="1" customWidth="1"/>
    <col min="9" max="9" width="15.1796875" style="103" bestFit="1" customWidth="1"/>
    <col min="10" max="16384" width="10.54296875" style="103"/>
  </cols>
  <sheetData>
    <row r="6" spans="1:11">
      <c r="A6" s="1" t="s">
        <v>44</v>
      </c>
      <c r="B6" s="1" t="s">
        <v>1</v>
      </c>
      <c r="C6" s="1" t="s">
        <v>2</v>
      </c>
      <c r="D6" s="1" t="s">
        <v>24</v>
      </c>
      <c r="E6" s="1" t="s">
        <v>4</v>
      </c>
      <c r="F6" s="1" t="s">
        <v>0</v>
      </c>
      <c r="G6" s="1" t="s">
        <v>29</v>
      </c>
      <c r="H6" s="1" t="s">
        <v>34</v>
      </c>
      <c r="I6" s="1" t="s">
        <v>113</v>
      </c>
      <c r="J6" s="1" t="s">
        <v>64</v>
      </c>
      <c r="K6" s="1" t="s">
        <v>61</v>
      </c>
    </row>
    <row r="7" spans="1:11">
      <c r="A7" s="104">
        <f>IF(SIMULATEUR!D7=Formules!D7,2000+(SIMULATEUR!D8*500),1500+(SIMULATEUR!D8*500))</f>
        <v>1500</v>
      </c>
      <c r="B7" s="104">
        <v>0</v>
      </c>
      <c r="C7" s="104"/>
      <c r="D7" s="104" t="s">
        <v>43</v>
      </c>
      <c r="E7" s="105">
        <v>0.45</v>
      </c>
      <c r="F7" s="104">
        <v>0</v>
      </c>
      <c r="G7" s="104">
        <v>1500</v>
      </c>
      <c r="H7" s="105">
        <v>0.15</v>
      </c>
      <c r="I7" s="104"/>
      <c r="J7" s="104"/>
      <c r="K7" s="104">
        <v>1</v>
      </c>
    </row>
    <row r="8" spans="1:11">
      <c r="A8" s="104"/>
      <c r="B8" s="104">
        <v>1</v>
      </c>
      <c r="C8" s="104" t="s">
        <v>25</v>
      </c>
      <c r="D8" s="104" t="s">
        <v>42</v>
      </c>
      <c r="E8" s="104"/>
      <c r="F8" s="104"/>
      <c r="G8" s="104"/>
      <c r="H8" s="104"/>
      <c r="I8" s="104" t="s">
        <v>42</v>
      </c>
      <c r="J8" s="104" t="s">
        <v>116</v>
      </c>
      <c r="K8" s="104">
        <v>1.5</v>
      </c>
    </row>
    <row r="9" spans="1:11">
      <c r="A9" s="104"/>
      <c r="B9" s="104">
        <v>2</v>
      </c>
      <c r="C9" s="104" t="s">
        <v>26</v>
      </c>
      <c r="D9" s="104"/>
      <c r="E9" s="104"/>
      <c r="F9" s="104"/>
      <c r="G9" s="104"/>
      <c r="H9" s="104"/>
      <c r="I9" s="104" t="s">
        <v>114</v>
      </c>
      <c r="J9" s="104" t="s">
        <v>117</v>
      </c>
      <c r="K9" s="104">
        <v>2</v>
      </c>
    </row>
    <row r="10" spans="1:11">
      <c r="A10" s="104"/>
      <c r="B10" s="104">
        <v>3</v>
      </c>
      <c r="C10" s="104" t="s">
        <v>130</v>
      </c>
      <c r="D10" s="104"/>
      <c r="E10" s="104"/>
      <c r="F10" s="104"/>
      <c r="G10" s="104"/>
      <c r="H10" s="104"/>
      <c r="I10" s="104" t="s">
        <v>115</v>
      </c>
      <c r="J10" s="104" t="s">
        <v>118</v>
      </c>
      <c r="K10" s="104">
        <v>2.5</v>
      </c>
    </row>
    <row r="11" spans="1:11">
      <c r="A11" s="104"/>
      <c r="B11" s="104">
        <v>4</v>
      </c>
      <c r="C11" s="104"/>
      <c r="D11" s="104"/>
      <c r="E11" s="104"/>
      <c r="F11" s="104"/>
      <c r="G11" s="104"/>
      <c r="H11" s="104"/>
      <c r="I11" s="104" t="s">
        <v>65</v>
      </c>
      <c r="J11" s="104"/>
      <c r="K11" s="104">
        <v>3</v>
      </c>
    </row>
    <row r="12" spans="1:11">
      <c r="A12" s="104"/>
      <c r="B12" s="104">
        <v>5</v>
      </c>
      <c r="C12" s="104"/>
      <c r="D12" s="104"/>
      <c r="E12" s="104"/>
      <c r="F12" s="104"/>
      <c r="G12" s="104"/>
      <c r="H12" s="104"/>
      <c r="I12" s="104"/>
      <c r="J12" s="104"/>
      <c r="K12" s="104">
        <v>3.5</v>
      </c>
    </row>
    <row r="13" spans="1:11">
      <c r="A13" s="104"/>
      <c r="B13" s="104">
        <v>6</v>
      </c>
      <c r="C13" s="104"/>
      <c r="D13" s="104"/>
      <c r="E13" s="104"/>
      <c r="F13" s="104"/>
      <c r="G13" s="104"/>
      <c r="H13" s="104"/>
      <c r="I13" s="104"/>
      <c r="J13" s="104"/>
      <c r="K13" s="104"/>
    </row>
    <row r="14" spans="1:11">
      <c r="A14" s="104"/>
      <c r="B14" s="104">
        <v>7</v>
      </c>
      <c r="C14" s="104"/>
      <c r="D14" s="104"/>
      <c r="E14" s="104"/>
      <c r="F14" s="104"/>
      <c r="G14" s="104"/>
      <c r="H14" s="104"/>
      <c r="I14" s="104"/>
      <c r="J14" s="104"/>
      <c r="K14" s="104"/>
    </row>
    <row r="15" spans="1:11">
      <c r="A15" s="104"/>
      <c r="B15" s="104">
        <v>8</v>
      </c>
      <c r="C15" s="104"/>
      <c r="D15" s="104"/>
      <c r="E15" s="104"/>
      <c r="F15" s="104"/>
      <c r="G15" s="104"/>
      <c r="H15" s="104"/>
      <c r="I15" s="104"/>
      <c r="J15" s="104"/>
      <c r="K15" s="104"/>
    </row>
    <row r="16" spans="1:11">
      <c r="A16" s="104"/>
      <c r="B16" s="104">
        <v>9</v>
      </c>
      <c r="C16" s="104"/>
      <c r="D16" s="104"/>
      <c r="E16" s="104"/>
      <c r="F16" s="104"/>
      <c r="G16" s="104"/>
      <c r="H16" s="104"/>
      <c r="I16" s="104"/>
      <c r="J16" s="104"/>
      <c r="K16" s="104"/>
    </row>
    <row r="17" spans="1:11">
      <c r="A17" s="104"/>
      <c r="B17" s="104">
        <v>10</v>
      </c>
      <c r="C17" s="104"/>
      <c r="D17" s="104"/>
      <c r="E17" s="104"/>
      <c r="F17" s="104"/>
      <c r="G17" s="104"/>
      <c r="H17" s="104"/>
      <c r="I17" s="104"/>
      <c r="J17" s="104"/>
      <c r="K17" s="104"/>
    </row>
    <row r="23" spans="1:11">
      <c r="A23" s="1" t="s">
        <v>119</v>
      </c>
      <c r="B23" s="1" t="s">
        <v>120</v>
      </c>
      <c r="C23" s="1" t="s">
        <v>121</v>
      </c>
      <c r="D23" s="1" t="s">
        <v>122</v>
      </c>
    </row>
    <row r="24" spans="1:11">
      <c r="A24" s="101" t="s">
        <v>123</v>
      </c>
      <c r="B24" s="102">
        <v>350</v>
      </c>
      <c r="C24" s="102">
        <v>300</v>
      </c>
      <c r="D24" s="102">
        <f t="shared" ref="D24:D29" si="0">C24*70%</f>
        <v>210</v>
      </c>
    </row>
    <row r="25" spans="1:11">
      <c r="A25" s="101" t="s">
        <v>124</v>
      </c>
      <c r="B25" s="102">
        <v>466</v>
      </c>
      <c r="C25" s="102">
        <v>405</v>
      </c>
      <c r="D25" s="102">
        <f t="shared" si="0"/>
        <v>283.5</v>
      </c>
    </row>
    <row r="26" spans="1:11">
      <c r="A26" s="101" t="s">
        <v>125</v>
      </c>
      <c r="B26" s="102">
        <v>700</v>
      </c>
      <c r="C26" s="102">
        <v>613</v>
      </c>
      <c r="D26" s="102">
        <f t="shared" si="0"/>
        <v>429.09999999999997</v>
      </c>
    </row>
    <row r="27" spans="1:11">
      <c r="A27" s="101" t="s">
        <v>126</v>
      </c>
      <c r="B27" s="102">
        <v>930</v>
      </c>
      <c r="C27" s="102">
        <v>821</v>
      </c>
      <c r="D27" s="102">
        <f t="shared" si="0"/>
        <v>574.69999999999993</v>
      </c>
    </row>
    <row r="28" spans="1:11">
      <c r="A28" s="101" t="s">
        <v>127</v>
      </c>
      <c r="B28" s="102">
        <v>1164</v>
      </c>
      <c r="C28" s="102">
        <v>1030</v>
      </c>
      <c r="D28" s="102">
        <f t="shared" si="0"/>
        <v>721</v>
      </c>
    </row>
    <row r="29" spans="1:11">
      <c r="A29" s="101" t="s">
        <v>128</v>
      </c>
      <c r="B29" s="102">
        <v>1400</v>
      </c>
      <c r="C29" s="102">
        <v>1238</v>
      </c>
      <c r="D29" s="102">
        <f t="shared" si="0"/>
        <v>866.59999999999991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REVENUS</vt:lpstr>
      <vt:lpstr>IMMOBILIER</vt:lpstr>
      <vt:lpstr>FINANCIER</vt:lpstr>
      <vt:lpstr>Tx d'endettement</vt:lpstr>
      <vt:lpstr>OBJECTIFS ET EFFORT</vt:lpstr>
      <vt:lpstr>SIMULATEUR</vt:lpstr>
      <vt:lpstr>Formules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Pierrick</dc:creator>
  <cp:lastModifiedBy>Othmane Benzakour</cp:lastModifiedBy>
  <dcterms:created xsi:type="dcterms:W3CDTF">2020-11-25T16:31:48Z</dcterms:created>
  <dcterms:modified xsi:type="dcterms:W3CDTF">2026-09-01T11:53:03Z</dcterms:modified>
</cp:coreProperties>
</file>